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ribkov.av\Downloads\"/>
    </mc:Choice>
  </mc:AlternateContent>
  <xr:revisionPtr revIDLastSave="0" documentId="13_ncr:1_{CE23957E-5B30-4A43-BCB2-06C2C24798D2}" xr6:coauthVersionLast="47" xr6:coauthVersionMax="47" xr10:uidLastSave="{00000000-0000-0000-0000-000000000000}"/>
  <bookViews>
    <workbookView xWindow="-120" yWindow="-120" windowWidth="29040" windowHeight="15840" tabRatio="946" xr2:uid="{00000000-000D-0000-FFFF-FFFF00000000}"/>
  </bookViews>
  <sheets>
    <sheet name="Интервью_Вопросник" sheetId="1" r:id="rId1"/>
    <sheet name="2.2.Сортировка" sheetId="2" state="hidden" r:id="rId2"/>
    <sheet name="10.Риски (копия)" sheetId="19" state="hidden" r:id="rId3"/>
  </sheets>
  <definedNames>
    <definedName name="_xlnm.Print_Area" localSheetId="0">Интервью_Вопросник!$B$2:$K$82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1" i="1" l="1"/>
  <c r="K61" i="1" s="1"/>
  <c r="J62" i="1"/>
  <c r="K62" i="1" s="1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7" i="1"/>
  <c r="K67" i="1" s="1"/>
  <c r="J66" i="1"/>
  <c r="K66" i="1" s="1"/>
  <c r="J65" i="1"/>
  <c r="K65" i="1" s="1"/>
  <c r="J64" i="1"/>
  <c r="K64" i="1" s="1"/>
  <c r="J63" i="1"/>
  <c r="K63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</calcChain>
</file>

<file path=xl/sharedStrings.xml><?xml version="1.0" encoding="utf-8"?>
<sst xmlns="http://schemas.openxmlformats.org/spreadsheetml/2006/main" count="189" uniqueCount="158">
  <si>
    <t xml:space="preserve">2.Членами команды был проведен анализ ответов и проведена их оценка о степени влиянияни описанной ситуации на потенциал роста ДС предприятия. </t>
  </si>
  <si>
    <t>Ситуация имеет незначительный потенциал роста ДС</t>
  </si>
  <si>
    <t>Умеренный потенциал роста ДС</t>
  </si>
  <si>
    <t>Высокий потенциал роста ДС</t>
  </si>
  <si>
    <t>3.Ознакомтесь с вопросами и ответами экспертами.</t>
  </si>
  <si>
    <t>Баллы</t>
  </si>
  <si>
    <t>Всего</t>
  </si>
  <si>
    <t>Средняя</t>
  </si>
  <si>
    <t>Какая доля ФОТ ( с отчислениями) приходится на сотрудников непосредственно участвующих в создании ценности? (производственный персонал)</t>
  </si>
  <si>
    <t>Какая доля сотрудников может выполнять должностные обязанности в режиме дистанционной работы?</t>
  </si>
  <si>
    <t>Какое соотношение управленческого персонала к сотрудникам непосредственно участвующих в создании ценности? (производственный персонал)?</t>
  </si>
  <si>
    <t>Какой процент текучести кадров среди рабочих профессий?</t>
  </si>
  <si>
    <t>Какой процент текучести кадров среди линейных руководителей?</t>
  </si>
  <si>
    <t>Какой среднее время закрытия вакансии рабочей специальности\линейного руководителя\руководителя уровня ГД-1, ГД-2?</t>
  </si>
  <si>
    <t>Какая стоимость закрытия вакансии?</t>
  </si>
  <si>
    <t>Какой объем расходов на обучение на одного сотрудника? (по soft skills)</t>
  </si>
  <si>
    <t>Какова вовлеченность сотрудников? (отношение количества работников, удовлетворенных своей работой, к общему количеству работников)</t>
  </si>
  <si>
    <t>Каких компетенций не достает персоналу?</t>
  </si>
  <si>
    <t>Какой рост выручки (по годам) за последние два года? Тренд роста, стагнация, нисходящий тренд?</t>
  </si>
  <si>
    <t>Как часто предприятие брало кредиты для поддержания своей операционной деятельности?  в последние два года</t>
  </si>
  <si>
    <t>Сколько инновационных идей было реализовано на предприятии в последние 3 года?</t>
  </si>
  <si>
    <t>Сколько  у компании проектов повышения операционной эффективности реализовано за последние 3 года?</t>
  </si>
  <si>
    <t>Какое количество дней «простоя» у предприятия по вине поставщиков сырья и материалов (в год)?</t>
  </si>
  <si>
    <t>Какая доля расходов на инфраструктуру?</t>
  </si>
  <si>
    <t xml:space="preserve">Как формируется цена на продукцию с учетом целевого значения средней маржинальности портфеля продукции? </t>
  </si>
  <si>
    <t>Имеется ли разделение продукции предприятия на продуктовые группы? Как происходит управление ценой продуктовой группы?</t>
  </si>
  <si>
    <t>Как много перемещений полуфабрикатов в процессе изготовления из одного помещения (цеха) в другое?</t>
  </si>
  <si>
    <t>Какое соотношение запасов незавершенного производства в годовом обороте компании?</t>
  </si>
  <si>
    <t>Как происходит планирование производственной программы с учетом возможности приобретения части номенклатуры у сторонних производителей?</t>
  </si>
  <si>
    <t>Какие методы, подходы, принципы повышения производительности используются на предприятии?</t>
  </si>
  <si>
    <t>Какова доля ручного труда в производимой продукции?</t>
  </si>
  <si>
    <t>Какими нормативами на каждую единицу оборудования руководствуются сотрудники при проведении планово-предупредительных ремонтных работах (ППР)?</t>
  </si>
  <si>
    <t>Какой показатель общей эффективности оборудования (OEE)?</t>
  </si>
  <si>
    <t>Какой объем простоев оборудования по причине недостаточной организации производственного процесса?</t>
  </si>
  <si>
    <t>Какова доля простоя оборудования при плановом производстве ремонтных работ?</t>
  </si>
  <si>
    <t>Какова доля брака по каждому виду продукции?</t>
  </si>
  <si>
    <t>Какой длительности производственный цикл в сравнении с лучшей практикой?</t>
  </si>
  <si>
    <t xml:space="preserve">1. </t>
  </si>
  <si>
    <r>
      <rPr>
        <sz val="11"/>
        <color rgb="FF000000"/>
        <rFont val="Arial"/>
        <family val="2"/>
        <charset val="204"/>
      </rPr>
      <t xml:space="preserve"> </t>
    </r>
    <r>
      <rPr>
        <b/>
        <sz val="11"/>
        <color rgb="FF000000"/>
        <rFont val="Arial"/>
        <family val="2"/>
        <charset val="204"/>
      </rPr>
      <t>Какие выводы можете сделать по вопроснику?</t>
    </r>
  </si>
  <si>
    <t>ПЕРСОНАЛ</t>
  </si>
  <si>
    <t>3.Запишите в столбец "H" меры по обнаружению причин рискового события</t>
  </si>
  <si>
    <t>4. Экспертно проведите оценку "Вероятности возникновения " причины, значимость "Тяжести последствия" и "Вероятность обнаружения причины" (см.шкалы оценок ниже)</t>
  </si>
  <si>
    <t>Степень риска =  "Вероятности возникновения " х "Тяжести последствия" х "Вероятность обнаружения причины"</t>
  </si>
  <si>
    <t>Вероятность возник-ия</t>
  </si>
  <si>
    <t>Тяжесть последствия</t>
  </si>
  <si>
    <t>Вероятность обнаружения причин</t>
  </si>
  <si>
    <t>1 – очень низкая</t>
  </si>
  <si>
    <t>1 – почти наверняка  будет обнаружен</t>
  </si>
  <si>
    <t>2 – низкая</t>
  </si>
  <si>
    <t xml:space="preserve">2 – низкая </t>
  </si>
  <si>
    <t>2 – очень хорошее обнаружение</t>
  </si>
  <si>
    <t>3 – не очень низкая</t>
  </si>
  <si>
    <t>3 – не очень серьезная</t>
  </si>
  <si>
    <t>3 – хорошее</t>
  </si>
  <si>
    <t>4 – ниже средней</t>
  </si>
  <si>
    <t>4 – умеренно хорошее</t>
  </si>
  <si>
    <t>5 – средняя</t>
  </si>
  <si>
    <t>5 – умеренное</t>
  </si>
  <si>
    <t>6 – выше средней</t>
  </si>
  <si>
    <t>6 – слабое</t>
  </si>
  <si>
    <t>7 – близка к высокой</t>
  </si>
  <si>
    <t>7 – довольно высокая</t>
  </si>
  <si>
    <t>7 – очень слабое</t>
  </si>
  <si>
    <t>8 – высокая</t>
  </si>
  <si>
    <t>8 – плохое</t>
  </si>
  <si>
    <t>9 – очень высокая</t>
  </si>
  <si>
    <t>9 – очень плохое</t>
  </si>
  <si>
    <t>10 – 100%-ная</t>
  </si>
  <si>
    <t xml:space="preserve">10 – катастрофическая </t>
  </si>
  <si>
    <t>10 – почти невозможно обнаружить</t>
  </si>
  <si>
    <t>Тяжесть последствия, S</t>
  </si>
  <si>
    <t>Действующие меры по обнаружению причин</t>
  </si>
  <si>
    <t>Вероятность обнаружения причины, D</t>
  </si>
  <si>
    <t>Степень риска</t>
  </si>
  <si>
    <t xml:space="preserve">Команда проекта одним из решений по управлению уровнем брака продукции выбрала внедрение диаграммы Исикавы при анализе проблем качества 
в рамках практики регулярного менеджмента - "Беседа по решению проблем" (БРП).
В таблице ниже приведены варианты рисков, связанные с внедрением диаграммы Исикавы на линейном уровне управления
</t>
  </si>
  <si>
    <r>
      <rPr>
        <sz val="12"/>
        <color rgb="FF000000"/>
        <rFont val="Arial"/>
        <family val="2"/>
        <charset val="204"/>
      </rPr>
      <t xml:space="preserve">1. Проведите могзговой штурм в своей мини-группе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ПРИЧИН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"С" - "Причины"</t>
    </r>
  </si>
  <si>
    <r>
      <rPr>
        <sz val="12"/>
        <color rgb="FF000000"/>
        <rFont val="Arial"/>
        <family val="2"/>
        <charset val="204"/>
      </rPr>
      <t xml:space="preserve">2.Проведите могзговой штурм 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ПОСЛЕДСТВИЙ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"F" - "Последствия"</t>
    </r>
  </si>
  <si>
    <t>Какие пары "причина-последствие" имеют высокую степень риска?
Какие выводы можете из этого сделать? Какие должны быть дейтвия со стороны команды проекта после проведенной оценки рисков?</t>
  </si>
  <si>
    <t>РЕШЕНИЕ:  Использовать для изготовления мелких партий изделий "ПП" технологию 3D печати</t>
  </si>
  <si>
    <t>Причины</t>
  </si>
  <si>
    <t>Вероятность возник-ия, О</t>
  </si>
  <si>
    <t xml:space="preserve">Риск </t>
  </si>
  <si>
    <t xml:space="preserve">Последствия </t>
  </si>
  <si>
    <t>Сотрудниками не освоены пока все режимы работы принтера</t>
  </si>
  <si>
    <t>1. Качество изделий на 3D принтере ниже, чем при литье</t>
  </si>
  <si>
    <t>Проведение дополнительного обучения по работе с принтером</t>
  </si>
  <si>
    <t>Изготовление опытных образцов</t>
  </si>
  <si>
    <t>Ошибка в выборе типа материала для изделия</t>
  </si>
  <si>
    <t>Клиент предъявил финансовые претензии</t>
  </si>
  <si>
    <t>Мера не разработана</t>
  </si>
  <si>
    <t>Нарушена последовательность действий в процессе</t>
  </si>
  <si>
    <t>Эксперимент признан неудачным и финансирование проекта завершено</t>
  </si>
  <si>
    <t>В среднем 10 тыс.руб.</t>
  </si>
  <si>
    <t xml:space="preserve">Обучение не проводилось. Практика отсутствует </t>
  </si>
  <si>
    <t>Простоев оборудования по причине недостаточной организации производственного процесса нет.</t>
  </si>
  <si>
    <t xml:space="preserve">Комментарий в формате проблемы:
</t>
  </si>
  <si>
    <t>Не более 5% от среднесписочной численности</t>
  </si>
  <si>
    <t>Кредитная нагрузка для целей пополнения оборотных средств составляет 180 млн.руб.</t>
  </si>
  <si>
    <t xml:space="preserve">Какая доля от выручки выделяется ежегодно на обновление основных фондов?  </t>
  </si>
  <si>
    <t xml:space="preserve">До какого уровня проведена декомпозиция стратегических целей? </t>
  </si>
  <si>
    <t xml:space="preserve">Какова доля импортных комплектующих, материалов в общей доле приобретаемых ТМЦ? </t>
  </si>
  <si>
    <t xml:space="preserve">Какая доля производственного персонала занята на операциях приемки\хранения\обработки запасов сырья и готовой продукции? </t>
  </si>
  <si>
    <t xml:space="preserve">Какое соотношение запасов сырья и материалов на предприятии относительно годового оборота компании? </t>
  </si>
  <si>
    <t xml:space="preserve">Описание тех процессов  есть частично на виды продукции и операции.  </t>
  </si>
  <si>
    <t>Насколько охвачены СОПами процессы?</t>
  </si>
  <si>
    <t>Насколько легко вывозить продукцию до потребителя?</t>
  </si>
  <si>
    <t xml:space="preserve">Логистические цепочки настроены, проблем не возникает </t>
  </si>
  <si>
    <t>Нет</t>
  </si>
  <si>
    <t xml:space="preserve">Сейчас доля запасов сырья и материалов от годового оборота составляет 10%. </t>
  </si>
  <si>
    <t>Модернизация производственных процессов</t>
  </si>
  <si>
    <t>Насколько соблюдаются нормы расхода сырья на каждую единицу продукции?</t>
  </si>
  <si>
    <t xml:space="preserve">Нормативы ППР отсутствуют. </t>
  </si>
  <si>
    <t>Расчет не проводится</t>
  </si>
  <si>
    <t>ПРОИЗВОДСТВО ПРОДУКЦИИ</t>
  </si>
  <si>
    <t>СТРАТЕГИЧЕСКОЕ РАЗВИТИЕ</t>
  </si>
  <si>
    <t>На разных этапах производства отклонения от нормы варьируются в зависимости от причины этих отклонений. Это не всегда является следствием  ошибки "ручного труда", а, например, износ запасных частей (фильер). Внедрение контрольно-измерительных приборов позволит своевременно обнаружить эти проблемы и предотвратить отклонение от норм. 
Практика показывает, что это позволит сократить расходы на сырье примерно на 0,5-2% или 3,6 млн.руб. в год</t>
  </si>
  <si>
    <t>Какой средний возраст сотрудников на предприятии?</t>
  </si>
  <si>
    <t>Какой время простоев оборудования по причине отсутствия персонала?</t>
  </si>
  <si>
    <t>В существующий производственный процесс невозможно вставить полуфабрикаты/комплектующие от сторонних производителей, т.к. действующее производство - это производство полного цикла с получением готовой товарной продукции.</t>
  </si>
  <si>
    <t>Нормативы есть, утверждены, внесены в ведомость расхода материалов. Из-за отсутствия инструментов контроля выявляются отклонения от нормативов.</t>
  </si>
  <si>
    <t>Генеральный директор</t>
  </si>
  <si>
    <t>Начальник производства</t>
  </si>
  <si>
    <t xml:space="preserve">и повышения уровня производительности труда. </t>
  </si>
  <si>
    <t xml:space="preserve">2. Членами команды был проведен анализ ответов и проведена их оценка о степени влиянияни описанной ситуации на потенциал роста добавленной стоимости предприятия </t>
  </si>
  <si>
    <t>Руководитель отдела по работе с персоналом</t>
  </si>
  <si>
    <t>Усполнительный директор</t>
  </si>
  <si>
    <t>Заместитель генерального директора</t>
  </si>
  <si>
    <t>Средний возраст ИТР - 39 лет, рабочих - 29 лет.</t>
  </si>
  <si>
    <t>Рабочих - 80, Специалистов - 10, Руководители- 10</t>
  </si>
  <si>
    <t>На основе сделанных опросов: рабочие специальности удовлетворены условиями  труда - 30%, ИТР - 60%, линейные руководители - 50%</t>
  </si>
  <si>
    <t>Простои оборудования по причине отсутствия персонала не зафиксированы.</t>
  </si>
  <si>
    <t>Для рабочей специальности - 2-3 недели , для ИТР - до 2-ух месяцев , для узких специальностей - доходит до 6-ти месяцев</t>
  </si>
  <si>
    <t xml:space="preserve">Сейчас 59% </t>
  </si>
  <si>
    <t>Предприятие испытывает недостаток компетенций в части разработки новых конструкций, внедрение инструментов бережливого производства, развития и усовершенствования существующих технологий, а также проектного управление.</t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</si>
  <si>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"Персонал"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1. Фактические расходы на оплату труда, приходящийся на сотрудников непосредственно участвующих в создании ценности составляет 60 млн. руб. в 2024 году. При внедрении инструментов БП будут высвобождены сотрудники на операции "Комплектация профиля", которых можно будет обучить и перенаправить на вакантные места. Таким образом, размер фонда оплаты труда не увеличится и относительно планируемого значения </t>
    </r>
    <r>
      <rPr>
        <b/>
        <sz val="11"/>
        <color rgb="FFFF0000"/>
        <rFont val="Arial"/>
        <family val="2"/>
        <charset val="204"/>
      </rPr>
      <t>сократиться на 7%</t>
    </r>
    <r>
      <rPr>
        <b/>
        <sz val="11"/>
        <color theme="7" tint="-0.499984740745262"/>
        <rFont val="Arial"/>
        <family val="2"/>
        <charset val="204"/>
      </rPr>
      <t xml:space="preserve">. </t>
    </r>
    <r>
      <rPr>
        <b/>
        <sz val="11"/>
        <color rgb="FF00B050"/>
        <rFont val="Arial"/>
        <family val="2"/>
        <charset val="204"/>
      </rPr>
      <t>В данном проекте будут использованы следующие инструменты БП: картирование текущего состояния и оценка фактической загрузки операторов в зоне комплектации профиля, АВС-анализ на складе профиля, адресное хранение, матрица компетенций.</t>
    </r>
    <r>
      <rPr>
        <b/>
        <sz val="11"/>
        <color theme="7" tint="-0.499984740745262"/>
        <rFont val="Arial"/>
        <family val="2"/>
        <charset val="204"/>
      </rPr>
      <t xml:space="preserve">
2. Текучесть кадров среди рабочих профессий: </t>
    </r>
    <r>
      <rPr>
        <b/>
        <sz val="11"/>
        <color rgb="FFFF0000"/>
        <rFont val="Arial"/>
        <family val="2"/>
        <charset val="204"/>
      </rPr>
      <t>текущий уровень 59%</t>
    </r>
    <r>
      <rPr>
        <b/>
        <sz val="11"/>
        <color theme="7" tint="-0.499984740745262"/>
        <rFont val="Arial"/>
        <family val="2"/>
        <charset val="204"/>
      </rPr>
      <t xml:space="preserve">. Данный драйвер влечет за собой потерю обученных специалистов, потерю времени на обучение и адаптацию новых специалистов. В период обучения и адаптации новых сотрудников возрастает нагрузка на рабочих, как следствие снижение работоспособности  и  снижение  производительности труда. </t>
    </r>
    <r>
      <rPr>
        <b/>
        <sz val="11"/>
        <color rgb="FF00B050"/>
        <rFont val="Arial"/>
        <family val="2"/>
        <charset val="204"/>
      </rPr>
      <t>В данном проекте будут использованы следующие инструменты БП: внедрение системы наставничества и адаптации новых сотрудников, внедрение матрицы компетенций.</t>
    </r>
    <r>
      <rPr>
        <b/>
        <sz val="11"/>
        <color theme="7" tint="-0.499984740745262"/>
        <rFont val="Arial"/>
        <family val="2"/>
        <charset val="204"/>
      </rPr>
      <t xml:space="preserve">
3. Отсутствие необходимых компетенций: предприятие испытывает недостаток компетенций в части разработки новых продуктов, внедрения инструментов БП, развития и усовершенствования существующих технологий,  а также проектного управления. </t>
    </r>
    <r>
      <rPr>
        <b/>
        <sz val="11"/>
        <color rgb="FF00B050"/>
        <rFont val="Arial"/>
        <family val="2"/>
        <charset val="204"/>
      </rPr>
      <t>По итогам реализации проекта на предприятии остается 2 сертифицированных внутренних тренера по БП, формируется проектная команда с необходимым набором компетенций и создается проектный офис для дальнейшего тиражирования инструментов БП.</t>
    </r>
  </si>
  <si>
    <t>Расходы на оплату труда производственного персонала в 2024 году составили - 58 млн.руб.</t>
  </si>
  <si>
    <t>Сейчас 7%</t>
  </si>
  <si>
    <t>За последние два года наблюдается рост выручки в общем на 88%</t>
  </si>
  <si>
    <t>Менее 5%</t>
  </si>
  <si>
    <t>На предприятии существует среднесрочное (5 лет), годовое (бизнес-план) и квартальное планирование. Месячное и оперативное (суточное) планирование отсутствует, либо имеет низкий уровень качества. Линейные руководители  не знают о стратегических планах компании.</t>
  </si>
  <si>
    <t>За последние три года реализовано 2 идеи. Низкий уровень подачи и реализации идей.</t>
  </si>
  <si>
    <t>За последние 3 года реализован 1 проект ПОЭ. В настоящий момент сотрудничаем с РЦК.</t>
  </si>
  <si>
    <t>7% персонала занято.</t>
  </si>
  <si>
    <t>Данные отсутствуют.</t>
  </si>
  <si>
    <t xml:space="preserve">Повышение цены в первую очередь происходит на основании повышения цен на сырье и аренду производственных помещений. Есть план по маржинальности, в рамках которого происходит изменение цен в зависимости от стоимости сырья и аренды производственных помещений. </t>
  </si>
  <si>
    <t>На предприятии имеется разделение на продуктовые группы. При формировании цены реализации учитываются индивидуальные условия Коммерческого соглашения по клиентам.</t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</si>
  <si>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"Стратегическое развитие"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1. Для того чтобы сократить кредитные обязательства необходимо провести диагностику текущего состояния с выявлением потерь при работе с сырьём, определить уровень запасов и готовой продукции. При сокращении потерь, найденных благодаря инструментам бережливого производства, </t>
    </r>
    <r>
      <rPr>
        <b/>
        <sz val="11"/>
        <color rgb="FFFF0000"/>
        <rFont val="Arial"/>
        <family val="2"/>
        <charset val="204"/>
      </rPr>
      <t>экономия на процентах по кредиту составит около 2 млн.руб. в год</t>
    </r>
    <r>
      <rPr>
        <b/>
        <sz val="11"/>
        <color theme="7" tint="-0.499984740745262"/>
        <rFont val="Arial"/>
        <family val="2"/>
        <charset val="204"/>
      </rPr>
      <t xml:space="preserve"> (основа для расчета п. 7, блок "Производство продукции"). </t>
    </r>
    <r>
      <rPr>
        <b/>
        <sz val="11"/>
        <color rgb="FF00B050"/>
        <rFont val="Arial"/>
        <family val="2"/>
        <charset val="204"/>
      </rPr>
      <t>В данном проекте будут использованы следующие инструменты БП: картирование текущего состояния, производственный анализ, АВС-анализ.</t>
    </r>
    <r>
      <rPr>
        <b/>
        <sz val="11"/>
        <color theme="7" tint="-0.499984740745262"/>
        <rFont val="Arial"/>
        <family val="2"/>
        <charset val="204"/>
      </rPr>
      <t xml:space="preserve">
2. Для повышения уровня декомпозиции стратегических целей предприятия, для вовлечения линейных руководителей в достижение этих целей, а также для оперативного реагирования на изменения в показателях предприятия необходимо внедрить информационные центры предприятия и участов. </t>
    </r>
    <r>
      <rPr>
        <b/>
        <sz val="11"/>
        <color rgb="FF00B050"/>
        <rFont val="Arial"/>
        <family val="2"/>
        <charset val="204"/>
      </rPr>
      <t>В данном проекте будут использованы следующие инструменты БП: информационный центр предприятия и информационные центры участков.</t>
    </r>
    <r>
      <rPr>
        <b/>
        <sz val="11"/>
        <color theme="7" tint="-0.499984740745262"/>
        <rFont val="Arial"/>
        <family val="2"/>
        <charset val="204"/>
      </rPr>
      <t xml:space="preserve">
3. Для формировани культуры непрерывныхулучшений для сотрудников предприятия необходимо </t>
    </r>
    <r>
      <rPr>
        <b/>
        <sz val="11"/>
        <color rgb="FF00B050"/>
        <rFont val="Arial"/>
        <family val="2"/>
        <charset val="204"/>
      </rPr>
      <t>внедрить систему подачи предложений по улучшению производственных процессов и систему мотивации.</t>
    </r>
    <r>
      <rPr>
        <b/>
        <sz val="11"/>
        <color theme="7" tint="-0.499984740745262"/>
        <rFont val="Arial"/>
        <family val="2"/>
        <charset val="204"/>
      </rPr>
      <t xml:space="preserve">
4. Для повышения операционной эффективности компании за счет реализации проектов, </t>
    </r>
    <r>
      <rPr>
        <b/>
        <sz val="11"/>
        <color rgb="FF00B050"/>
        <rFont val="Arial"/>
        <family val="2"/>
        <charset val="204"/>
      </rPr>
      <t>необходимо сформировать на предприятии Проектный офис, в который войдут 2 сертифицированных внутренних тренера по БП, сотрудники из рабочей группы пилотного проекта с необходимым набором компетенций для дальнейшего тиражирования инструментов БП.</t>
    </r>
  </si>
  <si>
    <t xml:space="preserve">Сейчас перевоз полуфабрикатов (аллюминиевого профил) занимает 39 минут, расстояние премещений 1390 м. </t>
  </si>
  <si>
    <t xml:space="preserve">Сейчас соотношение запасов незавершенного производства в годовом обороте компании не более 2%. </t>
  </si>
  <si>
    <t xml:space="preserve">Доля ручного труда на разных операциях составляет не менее 60%. </t>
  </si>
  <si>
    <t>Не более 2% от общего фонда времени</t>
  </si>
  <si>
    <t>Сейчас в среднем уровень брака достигает 10%</t>
  </si>
  <si>
    <r>
      <rPr>
        <b/>
        <u/>
        <sz val="11"/>
        <color theme="7" tint="-0.499984740745262"/>
        <rFont val="Arial"/>
        <family val="2"/>
        <charset val="204"/>
      </rPr>
      <t xml:space="preserve">Пройдя опрос по блоку "Производство продукции" можно выделить следующие драйверы по увеличению производительности труда: </t>
    </r>
    <r>
      <rPr>
        <b/>
        <sz val="11"/>
        <color theme="7" tint="-0.499984740745262"/>
        <rFont val="Arial"/>
        <family val="2"/>
        <charset val="204"/>
      </rPr>
      <t xml:space="preserve">
1. Из-за высокой доли ручного труда (не менее 60%) необходимо внедрение инструментов БП на рабочих местах, таких  как</t>
    </r>
    <r>
      <rPr>
        <b/>
        <sz val="11"/>
        <color rgb="FF00B050"/>
        <rFont val="Arial"/>
        <family val="2"/>
        <charset val="204"/>
      </rPr>
      <t xml:space="preserve"> стандартизированная работа</t>
    </r>
    <r>
      <rPr>
        <b/>
        <sz val="11"/>
        <color theme="7" tint="-0.499984740745262"/>
        <rFont val="Arial"/>
        <family val="2"/>
        <charset val="204"/>
      </rPr>
      <t xml:space="preserve">
2. Из-за отсутствия инструментов контроля  при соблюдении норм расхода сырья на каждую номенклатуру необходимо использовать измерительные системы, а также провести </t>
    </r>
    <r>
      <rPr>
        <b/>
        <sz val="11"/>
        <color rgb="FF00B050"/>
        <rFont val="Arial"/>
        <family val="2"/>
        <charset val="204"/>
      </rPr>
      <t>стандартизированную работу.</t>
    </r>
    <r>
      <rPr>
        <b/>
        <sz val="11"/>
        <color theme="7" tint="-0.499984740745262"/>
        <rFont val="Arial"/>
        <family val="2"/>
        <charset val="204"/>
      </rPr>
      <t xml:space="preserve"> Внедрение контрольно-измерительных приборов позволит своевременно обнаружить эти проблемы и предотвратить отклонение от норм. Практика показывает, что это позволит </t>
    </r>
    <r>
      <rPr>
        <b/>
        <sz val="11"/>
        <color rgb="FFFF0000"/>
        <rFont val="Arial"/>
        <family val="2"/>
        <charset val="204"/>
      </rPr>
      <t>сократить расходы на сырье примерно на 1,5-2% или 2,6 млн.руб. в год</t>
    </r>
    <r>
      <rPr>
        <b/>
        <sz val="11"/>
        <color theme="7" tint="-0.499984740745262"/>
        <rFont val="Arial"/>
        <family val="2"/>
        <charset val="204"/>
      </rPr>
      <t xml:space="preserve">
3. Провести </t>
    </r>
    <r>
      <rPr>
        <b/>
        <sz val="11"/>
        <color rgb="FF00B050"/>
        <rFont val="Arial"/>
        <family val="2"/>
        <charset val="204"/>
      </rPr>
      <t>стандартизированную работу на рабочих местах в потоке</t>
    </r>
    <r>
      <rPr>
        <b/>
        <sz val="11"/>
        <color theme="7" tint="-0.499984740745262"/>
        <rFont val="Arial"/>
        <family val="2"/>
        <charset val="204"/>
      </rPr>
      <t>, где используется ручной труд, а именно шлифовка профиля, сборка профиля и упаковка готовой продукции.
4. Из-за отсутствия нормативов ППР оборудования необходимо</t>
    </r>
    <r>
      <rPr>
        <b/>
        <sz val="11"/>
        <color rgb="FF00B050"/>
        <rFont val="Arial"/>
        <family val="2"/>
        <charset val="204"/>
      </rPr>
      <t xml:space="preserve"> внедрить инструменты ОЕЕ, АО и систему ППР</t>
    </r>
    <r>
      <rPr>
        <b/>
        <sz val="11"/>
        <color theme="7" tint="-0.499984740745262"/>
        <rFont val="Arial"/>
        <family val="2"/>
        <charset val="204"/>
      </rPr>
      <t xml:space="preserve">. Введение стандартов АО и норм ППР позволит достичь двух целей:
1) Своевременное обслуживание предотвратит возникновение серьезных поломок оборудования и ЗИП.
2) Своевременное обслуживание исключит возможность перерасхода материалов на ТО оборудования и исключит незапланированные расходы в бюджете. </t>
    </r>
    <r>
      <rPr>
        <b/>
        <sz val="11"/>
        <color rgb="FFFF0000"/>
        <rFont val="Arial"/>
        <family val="2"/>
        <charset val="204"/>
      </rPr>
      <t>Размер "перерасхода" может достигать до 0,4 млн.руб. в год</t>
    </r>
    <r>
      <rPr>
        <b/>
        <sz val="11"/>
        <color theme="7" tint="-0.499984740745262"/>
        <rFont val="Arial"/>
        <family val="2"/>
        <charset val="204"/>
      </rPr>
      <t xml:space="preserve">
5. Из-за переналадки оборудования с одного вида продукции на другой возникает наладочный брак, который в среднем составляет 7,5%, для сокращения уровня брака при переналадке оборудования необходимо </t>
    </r>
    <r>
      <rPr>
        <b/>
        <sz val="11"/>
        <color rgb="FF00B050"/>
        <rFont val="Arial"/>
        <family val="2"/>
        <charset val="204"/>
      </rPr>
      <t>внедрить инструмент SMED</t>
    </r>
    <r>
      <rPr>
        <b/>
        <sz val="11"/>
        <color theme="7" tint="-0.499984740745262"/>
        <rFont val="Arial"/>
        <family val="2"/>
        <charset val="204"/>
      </rPr>
      <t xml:space="preserve">
6.Доля брака сейчас составляет в среднем 10%. 
</t>
    </r>
    <r>
      <rPr>
        <b/>
        <sz val="11"/>
        <color rgb="FF00B050"/>
        <rFont val="Arial"/>
        <family val="2"/>
        <charset val="204"/>
      </rPr>
      <t>Использование инструмента SMED</t>
    </r>
    <r>
      <rPr>
        <b/>
        <sz val="11"/>
        <color theme="7" tint="-0.499984740745262"/>
        <rFont val="Arial"/>
        <family val="2"/>
        <charset val="204"/>
      </rPr>
      <t xml:space="preserve"> сократит время простоя оборудования при переналадке и объем брака при пробном пуске, регулировки и настройки. Вследвие чего увеличится объем выпуска готовой продукции, за счет чего сократится процент брака относительно товарной продукции. Расчет: сокращение времени переналадки увеличит объем выпуска товарной продукции примерно на 0,2% в месяц, 1500 м</t>
    </r>
    <r>
      <rPr>
        <b/>
        <sz val="11"/>
        <color theme="7" tint="-0.499984740745262"/>
        <rFont val="Calibri"/>
        <family val="2"/>
        <charset val="204"/>
      </rPr>
      <t>²</t>
    </r>
    <r>
      <rPr>
        <b/>
        <sz val="11"/>
        <color theme="7" tint="-0.499984740745262"/>
        <rFont val="Arial"/>
        <family val="2"/>
        <charset val="204"/>
      </rPr>
      <t xml:space="preserve"> в год или 7 млн.руб. в выручке </t>
    </r>
  </si>
  <si>
    <t>УТВЕРЖДАЮ</t>
  </si>
  <si>
    <r>
      <t xml:space="preserve">
                        _______________                А.А. А 
                        </t>
    </r>
    <r>
      <rPr>
        <b/>
        <sz val="12"/>
        <color rgb="FF000000"/>
        <rFont val="Times New Roman"/>
        <family val="1"/>
        <charset val="204"/>
      </rPr>
      <t>«30» июня 2025 г.</t>
    </r>
    <r>
      <rPr>
        <b/>
        <sz val="14"/>
        <color rgb="FF000000"/>
        <rFont val="Times New Roman"/>
        <family val="1"/>
        <charset val="204"/>
      </rPr>
      <t xml:space="preserve">  </t>
    </r>
  </si>
  <si>
    <t>1. Команда проекта провела интервью с экспертами компании ООО "ААА". Результатом интервью явился набор комментариев экспертов в формате проблемы.</t>
  </si>
  <si>
    <t>Расчет драйверов повышения производительности ООО "ААА"</t>
  </si>
  <si>
    <t xml:space="preserve">
                                                       Генеральный директор 
                                                         ООО «ААА»
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</si>
</sst>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u/>
      <sz val="11"/>
      <color theme="7" tint="-0.499984740745262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theme="7" tint="-0.499984740745262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B050"/>
      <name val="Arial"/>
      <family val="2"/>
      <charset val="204"/>
    </font>
    <font>
      <sz val="11"/>
      <color theme="7" tint="-0.499984740745262"/>
      <name val="Arial"/>
      <family val="2"/>
      <charset val="204"/>
    </font>
    <font>
      <b/>
      <sz val="11"/>
      <color theme="7" tint="-0.499984740745262"/>
      <name val="Calibri"/>
      <family val="2"/>
      <charset val="204"/>
    </font>
    <font>
      <b/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000000"/>
      <name val="Arial"/>
      <family val="2"/>
      <charset val="204"/>
    </font>
    <font>
      <b/>
      <sz val="16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5BF84"/>
        <bgColor rgb="FF75BF84"/>
      </patternFill>
    </fill>
    <fill>
      <patternFill patternType="solid">
        <fgColor rgb="FF57BB8A"/>
        <bgColor rgb="FF57BB8A"/>
      </patternFill>
    </fill>
    <fill>
      <patternFill patternType="solid">
        <fgColor rgb="FFF7B96A"/>
        <bgColor rgb="FFF7B96A"/>
      </patternFill>
    </fill>
    <fill>
      <patternFill patternType="solid">
        <fgColor rgb="FFFFD666"/>
        <bgColor rgb="FFFFD666"/>
      </patternFill>
    </fill>
    <fill>
      <patternFill patternType="solid">
        <fgColor rgb="FF5EBC89"/>
        <bgColor rgb="FF5EBC89"/>
      </patternFill>
    </fill>
    <fill>
      <patternFill patternType="solid">
        <fgColor rgb="FFE67C73"/>
        <bgColor rgb="FFE67C73"/>
      </patternFill>
    </fill>
    <fill>
      <patternFill patternType="solid">
        <fgColor rgb="FFFBC868"/>
        <bgColor rgb="FFFBC868"/>
      </patternFill>
    </fill>
    <fill>
      <patternFill patternType="solid">
        <fgColor rgb="FFEF9B6E"/>
        <bgColor rgb="FFEF9B6E"/>
      </patternFill>
    </fill>
    <fill>
      <patternFill patternType="solid">
        <fgColor rgb="FF8CC37F"/>
        <bgColor rgb="FF8CC37F"/>
      </patternFill>
    </fill>
    <fill>
      <patternFill patternType="solid">
        <fgColor rgb="FF5CBB89"/>
        <bgColor rgb="FF5CBB89"/>
      </patternFill>
    </fill>
    <fill>
      <patternFill patternType="solid">
        <fgColor rgb="FF6CBE86"/>
        <bgColor rgb="FF6CBE86"/>
      </patternFill>
    </fill>
    <fill>
      <patternFill patternType="solid">
        <fgColor rgb="FFDED06D"/>
        <bgColor rgb="FFDED06D"/>
      </patternFill>
    </fill>
    <fill>
      <patternFill patternType="solid">
        <fgColor rgb="FFEED36A"/>
        <bgColor rgb="FFEED36A"/>
      </patternFill>
    </fill>
    <fill>
      <patternFill patternType="solid">
        <fgColor rgb="FFF3A96C"/>
        <bgColor rgb="FFF3A96C"/>
      </patternFill>
    </fill>
    <fill>
      <patternFill patternType="solid">
        <fgColor rgb="FFEFD36A"/>
        <bgColor rgb="FFEFD36A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A5A5A5"/>
      </patternFill>
    </fill>
  </fills>
  <borders count="33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/>
    <xf numFmtId="0" fontId="3" fillId="2" borderId="2" xfId="0" applyFont="1" applyFill="1" applyBorder="1" applyAlignment="1"/>
    <xf numFmtId="0" fontId="2" fillId="2" borderId="2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2" borderId="3" xfId="0" applyFont="1" applyFill="1" applyBorder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top"/>
    </xf>
    <xf numFmtId="0" fontId="4" fillId="4" borderId="0" xfId="0" applyFont="1" applyFill="1" applyAlignment="1">
      <alignment wrapText="1"/>
    </xf>
    <xf numFmtId="0" fontId="2" fillId="3" borderId="0" xfId="0" applyFont="1" applyFill="1" applyAlignment="1"/>
    <xf numFmtId="0" fontId="4" fillId="4" borderId="0" xfId="0" applyFont="1" applyFill="1" applyAlignment="1"/>
    <xf numFmtId="0" fontId="5" fillId="3" borderId="0" xfId="0" applyFont="1" applyFill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>
      <alignment vertical="top"/>
    </xf>
    <xf numFmtId="0" fontId="7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/>
    </xf>
    <xf numFmtId="0" fontId="4" fillId="2" borderId="0" xfId="0" applyFont="1" applyFill="1" applyAlignment="1">
      <alignment horizontal="center"/>
    </xf>
    <xf numFmtId="0" fontId="2" fillId="2" borderId="10" xfId="0" applyFont="1" applyFill="1" applyBorder="1" applyAlignment="1">
      <alignment vertical="top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5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2" borderId="1" xfId="0" applyFont="1" applyFill="1" applyBorder="1" applyAlignment="1"/>
    <xf numFmtId="0" fontId="2" fillId="22" borderId="3" xfId="0" applyFont="1" applyFill="1" applyBorder="1" applyAlignment="1"/>
    <xf numFmtId="0" fontId="3" fillId="22" borderId="0" xfId="0" applyFont="1" applyFill="1" applyAlignment="1"/>
    <xf numFmtId="0" fontId="2" fillId="22" borderId="4" xfId="0" applyFont="1" applyFill="1" applyBorder="1" applyAlignment="1"/>
    <xf numFmtId="0" fontId="2" fillId="22" borderId="5" xfId="0" applyFont="1" applyFill="1" applyBorder="1" applyAlignment="1"/>
    <xf numFmtId="0" fontId="2" fillId="22" borderId="2" xfId="0" applyFont="1" applyFill="1" applyBorder="1" applyAlignment="1"/>
    <xf numFmtId="0" fontId="2" fillId="22" borderId="9" xfId="0" applyFont="1" applyFill="1" applyBorder="1" applyAlignment="1"/>
    <xf numFmtId="0" fontId="2" fillId="22" borderId="11" xfId="0" applyFont="1" applyFill="1" applyBorder="1" applyAlignment="1"/>
    <xf numFmtId="0" fontId="2" fillId="0" borderId="0" xfId="0" applyFont="1" applyAlignment="1">
      <alignment wrapText="1"/>
    </xf>
    <xf numFmtId="0" fontId="2" fillId="22" borderId="10" xfId="0" applyFont="1" applyFill="1" applyBorder="1" applyAlignment="1"/>
    <xf numFmtId="0" fontId="2" fillId="22" borderId="0" xfId="0" applyFont="1" applyFill="1" applyAlignment="1"/>
    <xf numFmtId="0" fontId="4" fillId="22" borderId="0" xfId="0" applyFont="1" applyFill="1" applyAlignment="1">
      <alignment horizontal="left"/>
    </xf>
    <xf numFmtId="0" fontId="9" fillId="22" borderId="0" xfId="0" applyFont="1" applyFill="1" applyAlignment="1"/>
    <xf numFmtId="0" fontId="4" fillId="4" borderId="0" xfId="0" applyFont="1" applyFill="1" applyAlignment="1">
      <alignment horizontal="left"/>
    </xf>
    <xf numFmtId="0" fontId="9" fillId="4" borderId="0" xfId="0" applyFont="1" applyFill="1" applyAlignme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2" fillId="4" borderId="0" xfId="0" applyFont="1" applyFill="1" applyAlignment="1"/>
    <xf numFmtId="0" fontId="2" fillId="22" borderId="8" xfId="0" applyFont="1" applyFill="1" applyBorder="1" applyAlignment="1">
      <alignment horizontal="center" vertical="center" wrapText="1"/>
    </xf>
    <xf numFmtId="0" fontId="14" fillId="2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25" borderId="6" xfId="0" applyFont="1" applyFill="1" applyBorder="1" applyAlignment="1">
      <alignment wrapText="1"/>
    </xf>
    <xf numFmtId="0" fontId="11" fillId="24" borderId="8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25" borderId="19" xfId="0" applyFont="1" applyFill="1" applyBorder="1" applyAlignment="1">
      <alignment wrapText="1"/>
    </xf>
    <xf numFmtId="0" fontId="11" fillId="24" borderId="17" xfId="0" applyFont="1" applyFill="1" applyBorder="1" applyAlignment="1">
      <alignment horizontal="center" vertical="center"/>
    </xf>
    <xf numFmtId="0" fontId="2" fillId="22" borderId="12" xfId="0" applyFont="1" applyFill="1" applyBorder="1" applyAlignment="1"/>
    <xf numFmtId="0" fontId="2" fillId="22" borderId="12" xfId="0" applyFont="1" applyFill="1" applyBorder="1" applyAlignment="1">
      <alignment wrapText="1"/>
    </xf>
    <xf numFmtId="0" fontId="2" fillId="4" borderId="12" xfId="0" applyFont="1" applyFill="1" applyBorder="1" applyAlignment="1"/>
    <xf numFmtId="0" fontId="2" fillId="4" borderId="12" xfId="0" applyFont="1" applyFill="1" applyBorder="1" applyAlignment="1">
      <alignment wrapText="1"/>
    </xf>
    <xf numFmtId="0" fontId="2" fillId="25" borderId="12" xfId="0" applyFont="1" applyFill="1" applyBorder="1" applyAlignment="1"/>
    <xf numFmtId="0" fontId="2" fillId="25" borderId="16" xfId="0" applyFont="1" applyFill="1" applyBorder="1" applyAlignment="1">
      <alignment wrapText="1"/>
    </xf>
    <xf numFmtId="0" fontId="11" fillId="24" borderId="12" xfId="0" applyFont="1" applyFill="1" applyBorder="1" applyAlignment="1">
      <alignment horizontal="center" vertical="center"/>
    </xf>
    <xf numFmtId="0" fontId="2" fillId="22" borderId="8" xfId="0" applyFont="1" applyFill="1" applyBorder="1" applyAlignment="1"/>
    <xf numFmtId="0" fontId="2" fillId="4" borderId="8" xfId="0" applyFont="1" applyFill="1" applyBorder="1" applyAlignment="1"/>
    <xf numFmtId="0" fontId="2" fillId="25" borderId="8" xfId="0" applyFont="1" applyFill="1" applyBorder="1" applyAlignment="1"/>
    <xf numFmtId="0" fontId="12" fillId="0" borderId="0" xfId="0" applyFont="1" applyAlignment="1"/>
    <xf numFmtId="0" fontId="2" fillId="25" borderId="8" xfId="0" applyFont="1" applyFill="1" applyBorder="1" applyAlignment="1">
      <alignment wrapText="1"/>
    </xf>
    <xf numFmtId="0" fontId="2" fillId="22" borderId="17" xfId="0" applyFont="1" applyFill="1" applyBorder="1" applyAlignment="1"/>
    <xf numFmtId="0" fontId="2" fillId="4" borderId="17" xfId="0" applyFont="1" applyFill="1" applyBorder="1" applyAlignment="1"/>
    <xf numFmtId="0" fontId="2" fillId="25" borderId="17" xfId="0" applyFont="1" applyFill="1" applyBorder="1" applyAlignment="1"/>
    <xf numFmtId="0" fontId="4" fillId="22" borderId="0" xfId="0" applyFont="1" applyFill="1" applyAlignment="1"/>
    <xf numFmtId="0" fontId="2" fillId="3" borderId="21" xfId="0" applyFont="1" applyFill="1" applyBorder="1" applyAlignment="1">
      <alignment vertical="top"/>
    </xf>
    <xf numFmtId="0" fontId="2" fillId="26" borderId="20" xfId="0" applyFont="1" applyFill="1" applyBorder="1" applyAlignment="1"/>
    <xf numFmtId="0" fontId="3" fillId="26" borderId="21" xfId="0" applyFont="1" applyFill="1" applyBorder="1" applyAlignment="1"/>
    <xf numFmtId="0" fontId="4" fillId="26" borderId="21" xfId="0" applyFont="1" applyFill="1" applyBorder="1" applyAlignment="1">
      <alignment horizontal="center" vertical="top"/>
    </xf>
    <xf numFmtId="0" fontId="2" fillId="26" borderId="21" xfId="0" applyFont="1" applyFill="1" applyBorder="1" applyAlignment="1">
      <alignment vertical="top"/>
    </xf>
    <xf numFmtId="0" fontId="2" fillId="26" borderId="23" xfId="0" applyFont="1" applyFill="1" applyBorder="1" applyAlignment="1"/>
    <xf numFmtId="0" fontId="3" fillId="26" borderId="0" xfId="0" applyFont="1" applyFill="1" applyAlignment="1"/>
    <xf numFmtId="0" fontId="4" fillId="26" borderId="0" xfId="0" applyFont="1" applyFill="1" applyAlignment="1">
      <alignment horizontal="center" vertical="top"/>
    </xf>
    <xf numFmtId="0" fontId="2" fillId="26" borderId="0" xfId="0" applyFont="1" applyFill="1" applyAlignment="1">
      <alignment vertical="top"/>
    </xf>
    <xf numFmtId="0" fontId="4" fillId="27" borderId="0" xfId="0" applyFont="1" applyFill="1" applyAlignment="1">
      <alignment horizontal="center" vertical="top"/>
    </xf>
    <xf numFmtId="0" fontId="4" fillId="27" borderId="0" xfId="0" applyFont="1" applyFill="1" applyAlignment="1"/>
    <xf numFmtId="0" fontId="6" fillId="26" borderId="0" xfId="0" applyFont="1" applyFill="1" applyAlignment="1"/>
    <xf numFmtId="0" fontId="6" fillId="0" borderId="8" xfId="0" applyFont="1" applyBorder="1" applyAlignment="1">
      <alignment horizontal="center" vertical="center" wrapText="1"/>
    </xf>
    <xf numFmtId="0" fontId="2" fillId="3" borderId="22" xfId="0" applyFont="1" applyFill="1" applyBorder="1" applyAlignment="1">
      <alignment vertical="top"/>
    </xf>
    <xf numFmtId="0" fontId="2" fillId="3" borderId="24" xfId="0" applyFont="1" applyFill="1" applyBorder="1" applyAlignment="1">
      <alignment vertical="top"/>
    </xf>
    <xf numFmtId="0" fontId="2" fillId="0" borderId="13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4" fillId="27" borderId="0" xfId="0" applyFont="1" applyFill="1" applyAlignment="1">
      <alignment horizontal="left" wrapText="1"/>
    </xf>
    <xf numFmtId="0" fontId="4" fillId="27" borderId="0" xfId="0" applyFont="1" applyFill="1" applyAlignment="1">
      <alignment horizontal="center"/>
    </xf>
    <xf numFmtId="0" fontId="2" fillId="3" borderId="23" xfId="0" applyFont="1" applyFill="1" applyBorder="1" applyAlignment="1">
      <alignment vertical="top"/>
    </xf>
    <xf numFmtId="0" fontId="4" fillId="26" borderId="0" xfId="0" applyFont="1" applyFill="1" applyAlignment="1"/>
    <xf numFmtId="0" fontId="27" fillId="26" borderId="0" xfId="0" applyFont="1" applyFill="1" applyAlignment="1">
      <alignment vertical="top"/>
    </xf>
    <xf numFmtId="0" fontId="27" fillId="2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7" fillId="26" borderId="0" xfId="0" applyFont="1" applyFill="1" applyAlignment="1">
      <alignment horizontal="right" vertical="top" wrapText="1"/>
    </xf>
    <xf numFmtId="0" fontId="28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27" fillId="26" borderId="0" xfId="0" applyFont="1" applyFill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9" fillId="26" borderId="23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20" fillId="3" borderId="20" xfId="0" applyFont="1" applyFill="1" applyBorder="1" applyAlignment="1">
      <alignment horizontal="left" vertical="top" wrapText="1"/>
    </xf>
    <xf numFmtId="0" fontId="23" fillId="3" borderId="21" xfId="0" applyFont="1" applyFill="1" applyBorder="1" applyAlignment="1">
      <alignment horizontal="left" vertical="top"/>
    </xf>
    <xf numFmtId="0" fontId="23" fillId="3" borderId="22" xfId="0" applyFont="1" applyFill="1" applyBorder="1" applyAlignment="1">
      <alignment horizontal="left" vertical="top"/>
    </xf>
    <xf numFmtId="0" fontId="23" fillId="3" borderId="23" xfId="0" applyFont="1" applyFill="1" applyBorder="1" applyAlignment="1">
      <alignment horizontal="left" vertical="top"/>
    </xf>
    <xf numFmtId="0" fontId="23" fillId="3" borderId="0" xfId="0" applyFont="1" applyFill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23" fillId="3" borderId="25" xfId="0" applyFont="1" applyFill="1" applyBorder="1" applyAlignment="1">
      <alignment horizontal="left" vertical="top"/>
    </xf>
    <xf numFmtId="0" fontId="23" fillId="3" borderId="26" xfId="0" applyFont="1" applyFill="1" applyBorder="1" applyAlignment="1">
      <alignment horizontal="left" vertical="top"/>
    </xf>
    <xf numFmtId="0" fontId="23" fillId="3" borderId="27" xfId="0" applyFont="1" applyFill="1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5" fillId="3" borderId="21" xfId="0" applyFont="1" applyFill="1" applyBorder="1" applyAlignment="1">
      <alignment horizontal="left" vertical="top"/>
    </xf>
    <xf numFmtId="0" fontId="5" fillId="3" borderId="22" xfId="0" applyFont="1" applyFill="1" applyBorder="1" applyAlignment="1">
      <alignment horizontal="left" vertical="top"/>
    </xf>
    <xf numFmtId="0" fontId="5" fillId="3" borderId="23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3" borderId="24" xfId="0" applyFont="1" applyFill="1" applyBorder="1" applyAlignment="1">
      <alignment horizontal="left" vertical="top"/>
    </xf>
    <xf numFmtId="0" fontId="5" fillId="3" borderId="25" xfId="0" applyFont="1" applyFill="1" applyBorder="1" applyAlignment="1">
      <alignment horizontal="left" vertical="top"/>
    </xf>
    <xf numFmtId="0" fontId="5" fillId="3" borderId="26" xfId="0" applyFont="1" applyFill="1" applyBorder="1" applyAlignment="1">
      <alignment horizontal="left" vertical="top"/>
    </xf>
    <xf numFmtId="0" fontId="5" fillId="3" borderId="27" xfId="0" applyFont="1" applyFill="1" applyBorder="1" applyAlignment="1">
      <alignment horizontal="left" vertical="top"/>
    </xf>
    <xf numFmtId="0" fontId="7" fillId="5" borderId="29" xfId="0" applyFont="1" applyFill="1" applyBorder="1" applyAlignment="1">
      <alignment horizontal="center" vertical="top"/>
    </xf>
    <xf numFmtId="0" fontId="8" fillId="0" borderId="32" xfId="0" applyFont="1" applyBorder="1" applyAlignment="1"/>
    <xf numFmtId="0" fontId="7" fillId="5" borderId="0" xfId="0" applyFont="1" applyFill="1" applyAlignment="1">
      <alignment horizontal="center" vertical="top" wrapText="1"/>
    </xf>
    <xf numFmtId="0" fontId="8" fillId="0" borderId="0" xfId="0" applyFont="1" applyAlignment="1"/>
    <xf numFmtId="0" fontId="9" fillId="0" borderId="30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13" fillId="23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/>
    <xf numFmtId="0" fontId="8" fillId="0" borderId="7" xfId="0" applyFont="1" applyBorder="1" applyAlignment="1"/>
    <xf numFmtId="0" fontId="14" fillId="24" borderId="13" xfId="0" applyFont="1" applyFill="1" applyBorder="1" applyAlignment="1">
      <alignment vertical="center" wrapText="1"/>
    </xf>
    <xf numFmtId="0" fontId="8" fillId="0" borderId="14" xfId="0" applyFont="1" applyBorder="1" applyAlignment="1"/>
    <xf numFmtId="0" fontId="8" fillId="0" borderId="18" xfId="0" applyFont="1" applyBorder="1" applyAlignment="1"/>
    <xf numFmtId="0" fontId="14" fillId="24" borderId="14" xfId="0" applyFont="1" applyFill="1" applyBorder="1" applyAlignment="1">
      <alignment vertical="center" wrapText="1"/>
    </xf>
    <xf numFmtId="0" fontId="8" fillId="0" borderId="12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24" Type="http://www.wps.cn/officeDocument/2020/cellImage" Target="NUL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245"/>
  <sheetViews>
    <sheetView tabSelected="1" view="pageBreakPreview" topLeftCell="A67" zoomScale="70" zoomScaleNormal="70" zoomScaleSheetLayoutView="70" workbookViewId="0">
      <selection activeCell="B77" sqref="B77:K82"/>
    </sheetView>
  </sheetViews>
  <sheetFormatPr defaultColWidth="12" defaultRowHeight="12.75" x14ac:dyDescent="0.2"/>
  <cols>
    <col min="2" max="2" width="3.42578125" customWidth="1"/>
    <col min="3" max="3" width="61.140625" customWidth="1"/>
    <col min="4" max="4" width="50.140625" style="1" customWidth="1"/>
    <col min="5" max="5" width="13" customWidth="1"/>
    <col min="6" max="6" width="15.28515625" customWidth="1"/>
    <col min="7" max="7" width="13.28515625" customWidth="1"/>
    <col min="8" max="8" width="12.85546875" customWidth="1"/>
    <col min="9" max="9" width="14" customWidth="1"/>
    <col min="10" max="11" width="8.85546875" customWidth="1"/>
  </cols>
  <sheetData>
    <row r="1" spans="2:13" ht="13.5" thickBot="1" x14ac:dyDescent="0.25"/>
    <row r="2" spans="2:13" ht="15.75" x14ac:dyDescent="0.2">
      <c r="B2" s="94"/>
      <c r="C2" s="95"/>
      <c r="D2" s="96"/>
      <c r="E2" s="97"/>
      <c r="F2" s="97"/>
      <c r="G2" s="97"/>
      <c r="H2" s="97"/>
      <c r="I2" s="97"/>
      <c r="J2" s="93"/>
      <c r="K2" s="106"/>
      <c r="L2" s="125"/>
    </row>
    <row r="3" spans="2:13" ht="31.15" customHeight="1" x14ac:dyDescent="0.2">
      <c r="B3" s="136" t="s">
        <v>156</v>
      </c>
      <c r="C3" s="137"/>
      <c r="D3" s="137"/>
      <c r="E3" s="137"/>
      <c r="F3" s="137"/>
      <c r="G3" s="137"/>
      <c r="H3" s="137"/>
      <c r="I3" s="137"/>
      <c r="J3" s="137"/>
      <c r="K3" s="138"/>
      <c r="L3" s="125"/>
    </row>
    <row r="4" spans="2:13" ht="33" customHeight="1" x14ac:dyDescent="0.3">
      <c r="B4" s="98"/>
      <c r="C4" s="104"/>
      <c r="D4" s="101"/>
      <c r="E4" s="101"/>
      <c r="F4" s="101"/>
      <c r="G4" s="127"/>
      <c r="H4" s="127"/>
      <c r="I4" s="128" t="s">
        <v>153</v>
      </c>
      <c r="J4" s="129"/>
      <c r="K4" s="107"/>
      <c r="L4" s="125"/>
    </row>
    <row r="5" spans="2:13" ht="60.6" customHeight="1" x14ac:dyDescent="0.25">
      <c r="B5" s="98"/>
      <c r="C5" s="104"/>
      <c r="D5" s="101"/>
      <c r="E5" s="101"/>
      <c r="F5" s="130" t="s">
        <v>157</v>
      </c>
      <c r="G5" s="131"/>
      <c r="H5" s="131"/>
      <c r="I5" s="131"/>
      <c r="J5" s="132"/>
      <c r="K5" s="107"/>
      <c r="L5" s="125"/>
    </row>
    <row r="6" spans="2:13" ht="94.15" customHeight="1" x14ac:dyDescent="0.25">
      <c r="B6" s="98"/>
      <c r="C6" s="126"/>
      <c r="D6" s="101"/>
      <c r="E6" s="101"/>
      <c r="F6" s="133" t="s">
        <v>154</v>
      </c>
      <c r="G6" s="134"/>
      <c r="H6" s="134"/>
      <c r="I6" s="134"/>
      <c r="J6" s="135"/>
      <c r="K6" s="107"/>
      <c r="L6" s="125"/>
    </row>
    <row r="7" spans="2:13" ht="15.75" x14ac:dyDescent="0.2">
      <c r="B7" s="98"/>
      <c r="C7" s="99"/>
      <c r="D7" s="100"/>
      <c r="E7" s="101"/>
      <c r="F7" s="101"/>
      <c r="G7" s="101"/>
      <c r="H7" s="101"/>
      <c r="I7" s="101"/>
      <c r="J7" s="5"/>
      <c r="K7" s="107"/>
      <c r="L7" s="125"/>
    </row>
    <row r="8" spans="2:13" ht="15.75" x14ac:dyDescent="0.2">
      <c r="B8" s="98"/>
      <c r="C8" s="99" t="s">
        <v>155</v>
      </c>
      <c r="D8" s="100"/>
      <c r="E8" s="101"/>
      <c r="F8" s="101"/>
      <c r="G8" s="101"/>
      <c r="H8" s="101"/>
      <c r="I8" s="101"/>
      <c r="J8" s="5"/>
      <c r="K8" s="107"/>
      <c r="L8" s="125"/>
    </row>
    <row r="9" spans="2:13" ht="15.75" x14ac:dyDescent="0.2">
      <c r="B9" s="98"/>
      <c r="C9" s="99" t="s">
        <v>123</v>
      </c>
      <c r="D9" s="100"/>
      <c r="E9" s="101"/>
      <c r="F9" s="101"/>
      <c r="G9" s="101"/>
      <c r="H9" s="101"/>
      <c r="I9" s="101"/>
      <c r="J9" s="5"/>
      <c r="K9" s="107"/>
      <c r="L9" s="125"/>
    </row>
    <row r="10" spans="2:13" ht="15.75" x14ac:dyDescent="0.2">
      <c r="B10" s="98"/>
      <c r="C10" s="99" t="s">
        <v>122</v>
      </c>
      <c r="D10" s="100"/>
      <c r="E10" s="101"/>
      <c r="F10" s="101"/>
      <c r="G10" s="101"/>
      <c r="H10" s="101"/>
      <c r="I10" s="101"/>
      <c r="J10" s="5"/>
      <c r="K10" s="107"/>
      <c r="L10" s="125"/>
    </row>
    <row r="11" spans="2:13" ht="31.5" x14ac:dyDescent="0.25">
      <c r="B11" s="98"/>
      <c r="C11" s="123" t="s">
        <v>1</v>
      </c>
      <c r="D11" s="124">
        <v>1</v>
      </c>
      <c r="E11" s="101"/>
      <c r="F11" s="101"/>
      <c r="G11" s="101"/>
      <c r="H11" s="101"/>
      <c r="I11" s="101"/>
      <c r="J11" s="5"/>
      <c r="K11" s="107"/>
      <c r="L11" s="125"/>
      <c r="M11" s="11"/>
    </row>
    <row r="12" spans="2:13" ht="15.75" x14ac:dyDescent="0.25">
      <c r="B12" s="98"/>
      <c r="C12" s="103" t="s">
        <v>2</v>
      </c>
      <c r="D12" s="102">
        <v>3</v>
      </c>
      <c r="E12" s="101"/>
      <c r="F12" s="101"/>
      <c r="G12" s="101"/>
      <c r="H12" s="101"/>
      <c r="I12" s="101"/>
      <c r="J12" s="5"/>
      <c r="K12" s="107"/>
      <c r="L12" s="125"/>
      <c r="M12" s="13"/>
    </row>
    <row r="13" spans="2:13" ht="15.75" x14ac:dyDescent="0.25">
      <c r="B13" s="98"/>
      <c r="C13" s="103" t="s">
        <v>3</v>
      </c>
      <c r="D13" s="102">
        <v>9</v>
      </c>
      <c r="E13" s="101"/>
      <c r="F13" s="101"/>
      <c r="G13" s="101"/>
      <c r="H13" s="101"/>
      <c r="I13" s="101"/>
      <c r="J13" s="5"/>
      <c r="K13" s="107"/>
      <c r="L13" s="125"/>
      <c r="M13" s="11"/>
    </row>
    <row r="14" spans="2:13" ht="15" x14ac:dyDescent="0.2">
      <c r="B14" s="98"/>
      <c r="C14" s="99" t="s">
        <v>4</v>
      </c>
      <c r="D14" s="101"/>
      <c r="E14" s="101"/>
      <c r="F14" s="101"/>
      <c r="G14" s="101"/>
      <c r="H14" s="101"/>
      <c r="I14" s="101"/>
      <c r="J14" s="5"/>
      <c r="K14" s="107"/>
      <c r="L14" s="125"/>
    </row>
    <row r="15" spans="2:13" ht="15.75" thickBot="1" x14ac:dyDescent="0.3">
      <c r="B15" s="98"/>
      <c r="C15" s="104"/>
      <c r="D15" s="101"/>
      <c r="E15" s="101"/>
      <c r="F15" s="101"/>
      <c r="G15" s="101"/>
      <c r="H15" s="101"/>
      <c r="I15" s="101"/>
      <c r="J15" s="5"/>
      <c r="K15" s="107"/>
      <c r="L15" s="125"/>
    </row>
    <row r="16" spans="2:13" ht="15" x14ac:dyDescent="0.2">
      <c r="B16" s="168" t="s">
        <v>39</v>
      </c>
      <c r="C16" s="168"/>
      <c r="D16" s="166" t="s">
        <v>95</v>
      </c>
      <c r="E16" s="162" t="s">
        <v>5</v>
      </c>
      <c r="F16" s="163"/>
      <c r="G16" s="163"/>
      <c r="H16" s="163"/>
      <c r="I16" s="163"/>
      <c r="J16" s="163"/>
      <c r="K16" s="163"/>
    </row>
    <row r="17" spans="2:11" ht="56.45" customHeight="1" x14ac:dyDescent="0.2">
      <c r="B17" s="169"/>
      <c r="C17" s="169"/>
      <c r="D17" s="167"/>
      <c r="E17" s="122" t="s">
        <v>121</v>
      </c>
      <c r="F17" s="122" t="s">
        <v>125</v>
      </c>
      <c r="G17" s="122" t="s">
        <v>124</v>
      </c>
      <c r="H17" s="122" t="s">
        <v>120</v>
      </c>
      <c r="I17" s="122" t="s">
        <v>126</v>
      </c>
      <c r="J17" s="111" t="s">
        <v>6</v>
      </c>
      <c r="K17" s="111" t="s">
        <v>7</v>
      </c>
    </row>
    <row r="18" spans="2:11" ht="47.45" customHeight="1" x14ac:dyDescent="0.2">
      <c r="B18" s="112">
        <v>1</v>
      </c>
      <c r="C18" s="114" t="s">
        <v>8</v>
      </c>
      <c r="D18" s="113" t="s">
        <v>135</v>
      </c>
      <c r="E18" s="17">
        <v>3</v>
      </c>
      <c r="F18" s="17">
        <v>9</v>
      </c>
      <c r="G18" s="17">
        <v>3</v>
      </c>
      <c r="H18" s="17">
        <v>9</v>
      </c>
      <c r="I18" s="17">
        <v>9</v>
      </c>
      <c r="J18" s="18">
        <f t="shared" ref="J18:J29" si="0">SUM(E18:I18)</f>
        <v>33</v>
      </c>
      <c r="K18" s="20">
        <f t="shared" ref="K18:K29" si="1">J18/COUNTA(E18:I18)</f>
        <v>6.6</v>
      </c>
    </row>
    <row r="19" spans="2:11" ht="38.450000000000003" customHeight="1" x14ac:dyDescent="0.2">
      <c r="B19" s="112">
        <v>2</v>
      </c>
      <c r="C19" s="113" t="s">
        <v>116</v>
      </c>
      <c r="D19" s="113" t="s">
        <v>127</v>
      </c>
      <c r="E19" s="17">
        <v>3</v>
      </c>
      <c r="F19" s="17">
        <v>1</v>
      </c>
      <c r="G19" s="17">
        <v>3</v>
      </c>
      <c r="H19" s="17">
        <v>1</v>
      </c>
      <c r="I19" s="17">
        <v>1</v>
      </c>
      <c r="J19" s="18">
        <f t="shared" si="0"/>
        <v>9</v>
      </c>
      <c r="K19" s="21">
        <f t="shared" si="1"/>
        <v>1.8</v>
      </c>
    </row>
    <row r="20" spans="2:11" ht="33" customHeight="1" x14ac:dyDescent="0.2">
      <c r="B20" s="112">
        <v>3</v>
      </c>
      <c r="C20" s="113" t="s">
        <v>9</v>
      </c>
      <c r="D20" s="113" t="s">
        <v>96</v>
      </c>
      <c r="E20" s="17">
        <v>1</v>
      </c>
      <c r="F20" s="17">
        <v>1</v>
      </c>
      <c r="G20" s="17">
        <v>1</v>
      </c>
      <c r="H20" s="17">
        <v>3</v>
      </c>
      <c r="I20" s="17">
        <v>1</v>
      </c>
      <c r="J20" s="18">
        <f t="shared" si="0"/>
        <v>7</v>
      </c>
      <c r="K20" s="22">
        <f t="shared" si="1"/>
        <v>1.4</v>
      </c>
    </row>
    <row r="21" spans="2:11" ht="48.6" customHeight="1" x14ac:dyDescent="0.2">
      <c r="B21" s="112">
        <v>4</v>
      </c>
      <c r="C21" s="113" t="s">
        <v>10</v>
      </c>
      <c r="D21" s="113" t="s">
        <v>128</v>
      </c>
      <c r="E21" s="17">
        <v>1</v>
      </c>
      <c r="F21" s="17">
        <v>1</v>
      </c>
      <c r="G21" s="17">
        <v>1</v>
      </c>
      <c r="H21" s="17">
        <v>1</v>
      </c>
      <c r="I21" s="17">
        <v>1</v>
      </c>
      <c r="J21" s="18">
        <f t="shared" si="0"/>
        <v>5</v>
      </c>
      <c r="K21" s="23">
        <f t="shared" si="1"/>
        <v>1</v>
      </c>
    </row>
    <row r="22" spans="2:11" ht="15" x14ac:dyDescent="0.2">
      <c r="B22" s="112">
        <v>5</v>
      </c>
      <c r="C22" s="113" t="s">
        <v>11</v>
      </c>
      <c r="D22" s="113" t="s">
        <v>132</v>
      </c>
      <c r="E22" s="17">
        <v>9</v>
      </c>
      <c r="F22" s="17">
        <v>9</v>
      </c>
      <c r="G22" s="17">
        <v>9</v>
      </c>
      <c r="H22" s="17">
        <v>9</v>
      </c>
      <c r="I22" s="17">
        <v>9</v>
      </c>
      <c r="J22" s="18">
        <f t="shared" si="0"/>
        <v>45</v>
      </c>
      <c r="K22" s="19">
        <f t="shared" si="1"/>
        <v>9</v>
      </c>
    </row>
    <row r="23" spans="2:11" ht="30" x14ac:dyDescent="0.2">
      <c r="B23" s="112">
        <v>6</v>
      </c>
      <c r="C23" s="113" t="s">
        <v>12</v>
      </c>
      <c r="D23" s="113" t="s">
        <v>136</v>
      </c>
      <c r="E23" s="17">
        <v>1</v>
      </c>
      <c r="F23" s="17">
        <v>1</v>
      </c>
      <c r="G23" s="17">
        <v>3</v>
      </c>
      <c r="H23" s="17">
        <v>1</v>
      </c>
      <c r="I23" s="17">
        <v>1</v>
      </c>
      <c r="J23" s="18">
        <f t="shared" si="0"/>
        <v>7</v>
      </c>
      <c r="K23" s="20">
        <f t="shared" si="1"/>
        <v>1.4</v>
      </c>
    </row>
    <row r="24" spans="2:11" ht="49.15" customHeight="1" x14ac:dyDescent="0.2">
      <c r="B24" s="112">
        <v>7</v>
      </c>
      <c r="C24" s="113" t="s">
        <v>13</v>
      </c>
      <c r="D24" s="113" t="s">
        <v>131</v>
      </c>
      <c r="E24" s="17">
        <v>1</v>
      </c>
      <c r="F24" s="17">
        <v>3</v>
      </c>
      <c r="G24" s="17">
        <v>3</v>
      </c>
      <c r="H24" s="17">
        <v>3</v>
      </c>
      <c r="I24" s="17">
        <v>1</v>
      </c>
      <c r="J24" s="18">
        <f t="shared" si="0"/>
        <v>11</v>
      </c>
      <c r="K24" s="24">
        <f t="shared" si="1"/>
        <v>2.2000000000000002</v>
      </c>
    </row>
    <row r="25" spans="2:11" ht="15" x14ac:dyDescent="0.2">
      <c r="B25" s="112">
        <v>8</v>
      </c>
      <c r="C25" s="113" t="s">
        <v>14</v>
      </c>
      <c r="D25" s="115" t="s">
        <v>92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8">
        <f t="shared" si="0"/>
        <v>5</v>
      </c>
      <c r="K25" s="25">
        <f t="shared" si="1"/>
        <v>1</v>
      </c>
    </row>
    <row r="26" spans="2:11" ht="30" x14ac:dyDescent="0.2">
      <c r="B26" s="112">
        <v>9</v>
      </c>
      <c r="C26" s="113" t="s">
        <v>15</v>
      </c>
      <c r="D26" s="115" t="s">
        <v>93</v>
      </c>
      <c r="E26" s="17">
        <v>1</v>
      </c>
      <c r="F26" s="17">
        <v>1</v>
      </c>
      <c r="G26" s="17">
        <v>1</v>
      </c>
      <c r="H26" s="17">
        <v>1</v>
      </c>
      <c r="I26" s="17">
        <v>1</v>
      </c>
      <c r="J26" s="18">
        <f t="shared" si="0"/>
        <v>5</v>
      </c>
      <c r="K26" s="24">
        <f t="shared" si="1"/>
        <v>1</v>
      </c>
    </row>
    <row r="27" spans="2:11" ht="54.6" customHeight="1" x14ac:dyDescent="0.2">
      <c r="B27" s="112">
        <v>10</v>
      </c>
      <c r="C27" s="113" t="s">
        <v>16</v>
      </c>
      <c r="D27" s="113" t="s">
        <v>129</v>
      </c>
      <c r="E27" s="17">
        <v>9</v>
      </c>
      <c r="F27" s="17">
        <v>1</v>
      </c>
      <c r="G27" s="17">
        <v>3</v>
      </c>
      <c r="H27" s="17">
        <v>1</v>
      </c>
      <c r="I27" s="17">
        <v>1</v>
      </c>
      <c r="J27" s="18">
        <f t="shared" si="0"/>
        <v>15</v>
      </c>
      <c r="K27" s="26">
        <f t="shared" si="1"/>
        <v>3</v>
      </c>
    </row>
    <row r="28" spans="2:11" ht="84.75" customHeight="1" x14ac:dyDescent="0.2">
      <c r="B28" s="112">
        <v>11</v>
      </c>
      <c r="C28" s="113" t="s">
        <v>17</v>
      </c>
      <c r="D28" s="113" t="s">
        <v>133</v>
      </c>
      <c r="E28" s="17">
        <v>9</v>
      </c>
      <c r="F28" s="17">
        <v>9</v>
      </c>
      <c r="G28" s="17">
        <v>9</v>
      </c>
      <c r="H28" s="17">
        <v>9</v>
      </c>
      <c r="I28" s="17">
        <v>3</v>
      </c>
      <c r="J28" s="18">
        <f t="shared" si="0"/>
        <v>39</v>
      </c>
      <c r="K28" s="24">
        <f t="shared" si="1"/>
        <v>7.8</v>
      </c>
    </row>
    <row r="29" spans="2:11" ht="62.45" customHeight="1" thickBot="1" x14ac:dyDescent="0.25">
      <c r="B29" s="112">
        <v>12</v>
      </c>
      <c r="C29" s="120" t="s">
        <v>117</v>
      </c>
      <c r="D29" s="116" t="s">
        <v>130</v>
      </c>
      <c r="E29" s="108">
        <v>1</v>
      </c>
      <c r="F29" s="108">
        <v>1</v>
      </c>
      <c r="G29" s="108">
        <v>1</v>
      </c>
      <c r="H29" s="108">
        <v>1</v>
      </c>
      <c r="I29" s="108">
        <v>1</v>
      </c>
      <c r="J29" s="109">
        <f t="shared" si="0"/>
        <v>5</v>
      </c>
      <c r="K29" s="110">
        <f t="shared" si="1"/>
        <v>1</v>
      </c>
    </row>
    <row r="30" spans="2:11" x14ac:dyDescent="0.2">
      <c r="B30" s="139" t="s">
        <v>134</v>
      </c>
      <c r="C30" s="140"/>
      <c r="D30" s="140"/>
      <c r="E30" s="140"/>
      <c r="F30" s="140"/>
      <c r="G30" s="140"/>
      <c r="H30" s="140"/>
      <c r="I30" s="140"/>
      <c r="J30" s="140"/>
      <c r="K30" s="141"/>
    </row>
    <row r="31" spans="2:11" x14ac:dyDescent="0.2">
      <c r="B31" s="142"/>
      <c r="C31" s="143"/>
      <c r="D31" s="143"/>
      <c r="E31" s="143"/>
      <c r="F31" s="143"/>
      <c r="G31" s="143"/>
      <c r="H31" s="143"/>
      <c r="I31" s="143"/>
      <c r="J31" s="143"/>
      <c r="K31" s="144"/>
    </row>
    <row r="32" spans="2:11" x14ac:dyDescent="0.2">
      <c r="B32" s="142"/>
      <c r="C32" s="143"/>
      <c r="D32" s="143"/>
      <c r="E32" s="143"/>
      <c r="F32" s="143"/>
      <c r="G32" s="143"/>
      <c r="H32" s="143"/>
      <c r="I32" s="143"/>
      <c r="J32" s="143"/>
      <c r="K32" s="144"/>
    </row>
    <row r="33" spans="2:11" x14ac:dyDescent="0.2">
      <c r="B33" s="142"/>
      <c r="C33" s="143"/>
      <c r="D33" s="143"/>
      <c r="E33" s="143"/>
      <c r="F33" s="143"/>
      <c r="G33" s="143"/>
      <c r="H33" s="143"/>
      <c r="I33" s="143"/>
      <c r="J33" s="143"/>
      <c r="K33" s="144"/>
    </row>
    <row r="34" spans="2:11" x14ac:dyDescent="0.2">
      <c r="B34" s="142"/>
      <c r="C34" s="143"/>
      <c r="D34" s="143"/>
      <c r="E34" s="143"/>
      <c r="F34" s="143"/>
      <c r="G34" s="143"/>
      <c r="H34" s="143"/>
      <c r="I34" s="143"/>
      <c r="J34" s="143"/>
      <c r="K34" s="144"/>
    </row>
    <row r="35" spans="2:11" ht="111.6" customHeight="1" thickBot="1" x14ac:dyDescent="0.25">
      <c r="B35" s="145"/>
      <c r="C35" s="146"/>
      <c r="D35" s="146"/>
      <c r="E35" s="146"/>
      <c r="F35" s="146"/>
      <c r="G35" s="146"/>
      <c r="H35" s="146"/>
      <c r="I35" s="146"/>
      <c r="J35" s="146"/>
      <c r="K35" s="147"/>
    </row>
    <row r="36" spans="2:11" x14ac:dyDescent="0.2">
      <c r="E36" s="6"/>
      <c r="F36" s="6"/>
      <c r="G36" s="6"/>
      <c r="H36" s="6"/>
      <c r="I36" s="6"/>
      <c r="J36" s="6"/>
      <c r="K36" s="6"/>
    </row>
    <row r="37" spans="2:11" x14ac:dyDescent="0.2">
      <c r="E37" s="6"/>
      <c r="F37" s="6"/>
      <c r="G37" s="6"/>
      <c r="H37" s="6"/>
      <c r="I37" s="6"/>
      <c r="J37" s="6"/>
      <c r="K37" s="6"/>
    </row>
    <row r="38" spans="2:11" x14ac:dyDescent="0.2">
      <c r="B38" s="6"/>
      <c r="E38" s="164" t="s">
        <v>5</v>
      </c>
      <c r="F38" s="165"/>
      <c r="G38" s="165"/>
      <c r="H38" s="165"/>
      <c r="I38" s="165"/>
      <c r="J38" s="165"/>
      <c r="K38" s="165"/>
    </row>
    <row r="39" spans="2:11" ht="56.45" customHeight="1" x14ac:dyDescent="0.2">
      <c r="B39" s="148" t="s">
        <v>114</v>
      </c>
      <c r="C39" s="149"/>
      <c r="D39" s="105" t="s">
        <v>95</v>
      </c>
      <c r="E39" s="122" t="s">
        <v>121</v>
      </c>
      <c r="F39" s="122" t="s">
        <v>125</v>
      </c>
      <c r="G39" s="122" t="s">
        <v>124</v>
      </c>
      <c r="H39" s="122" t="s">
        <v>120</v>
      </c>
      <c r="I39" s="122" t="s">
        <v>126</v>
      </c>
      <c r="J39" s="16" t="s">
        <v>6</v>
      </c>
      <c r="K39" s="16" t="s">
        <v>7</v>
      </c>
    </row>
    <row r="40" spans="2:11" ht="34.15" customHeight="1" x14ac:dyDescent="0.2">
      <c r="B40" s="112">
        <v>1</v>
      </c>
      <c r="C40" s="113" t="s">
        <v>18</v>
      </c>
      <c r="D40" s="119" t="s">
        <v>137</v>
      </c>
      <c r="E40" s="27">
        <v>1</v>
      </c>
      <c r="F40" s="27">
        <v>3</v>
      </c>
      <c r="G40" s="27">
        <v>1</v>
      </c>
      <c r="H40" s="27">
        <v>3</v>
      </c>
      <c r="I40" s="27">
        <v>1</v>
      </c>
      <c r="J40" s="28">
        <f t="shared" ref="J40:J51" si="2">SUM(E40:I40)</f>
        <v>9</v>
      </c>
      <c r="K40" s="29">
        <f t="shared" ref="K40:K51" si="3">J40/COUNTA(E40:I40)</f>
        <v>1.8</v>
      </c>
    </row>
    <row r="41" spans="2:11" ht="30" x14ac:dyDescent="0.2">
      <c r="B41" s="112">
        <v>2</v>
      </c>
      <c r="C41" s="113" t="s">
        <v>19</v>
      </c>
      <c r="D41" s="117" t="s">
        <v>97</v>
      </c>
      <c r="E41" s="27">
        <v>9</v>
      </c>
      <c r="F41" s="27">
        <v>9</v>
      </c>
      <c r="G41" s="27">
        <v>3</v>
      </c>
      <c r="H41" s="27">
        <v>9</v>
      </c>
      <c r="I41" s="27">
        <v>9</v>
      </c>
      <c r="J41" s="28">
        <f t="shared" si="2"/>
        <v>39</v>
      </c>
      <c r="K41" s="30">
        <f t="shared" si="3"/>
        <v>7.8</v>
      </c>
    </row>
    <row r="42" spans="2:11" ht="30" x14ac:dyDescent="0.2">
      <c r="B42" s="112">
        <v>3</v>
      </c>
      <c r="C42" s="114" t="s">
        <v>98</v>
      </c>
      <c r="D42" s="121" t="s">
        <v>138</v>
      </c>
      <c r="E42" s="27">
        <v>1</v>
      </c>
      <c r="F42" s="27">
        <v>3</v>
      </c>
      <c r="G42" s="27">
        <v>1</v>
      </c>
      <c r="H42" s="27">
        <v>3</v>
      </c>
      <c r="I42" s="27">
        <v>1</v>
      </c>
      <c r="J42" s="28">
        <f t="shared" si="2"/>
        <v>9</v>
      </c>
      <c r="K42" s="31">
        <f t="shared" si="3"/>
        <v>1.8</v>
      </c>
    </row>
    <row r="43" spans="2:11" ht="81.599999999999994" customHeight="1" x14ac:dyDescent="0.2">
      <c r="B43" s="112">
        <v>4</v>
      </c>
      <c r="C43" s="114" t="s">
        <v>99</v>
      </c>
      <c r="D43" s="119" t="s">
        <v>139</v>
      </c>
      <c r="E43" s="27">
        <v>3</v>
      </c>
      <c r="F43" s="27">
        <v>9</v>
      </c>
      <c r="G43" s="27">
        <v>3</v>
      </c>
      <c r="H43" s="27">
        <v>9</v>
      </c>
      <c r="I43" s="27">
        <v>9</v>
      </c>
      <c r="J43" s="28">
        <f t="shared" si="2"/>
        <v>33</v>
      </c>
      <c r="K43" s="32">
        <f t="shared" si="3"/>
        <v>6.6</v>
      </c>
    </row>
    <row r="44" spans="2:11" ht="30" x14ac:dyDescent="0.2">
      <c r="B44" s="112">
        <v>5</v>
      </c>
      <c r="C44" s="113" t="s">
        <v>20</v>
      </c>
      <c r="D44" s="119" t="s">
        <v>140</v>
      </c>
      <c r="E44" s="27">
        <v>3</v>
      </c>
      <c r="F44" s="27">
        <v>9</v>
      </c>
      <c r="G44" s="27">
        <v>3</v>
      </c>
      <c r="H44" s="27">
        <v>9</v>
      </c>
      <c r="I44" s="27">
        <v>9</v>
      </c>
      <c r="J44" s="28">
        <f t="shared" si="2"/>
        <v>33</v>
      </c>
      <c r="K44" s="34">
        <f t="shared" si="3"/>
        <v>6.6</v>
      </c>
    </row>
    <row r="45" spans="2:11" ht="30" x14ac:dyDescent="0.2">
      <c r="B45" s="112">
        <v>6</v>
      </c>
      <c r="C45" s="113" t="s">
        <v>21</v>
      </c>
      <c r="D45" s="119" t="s">
        <v>141</v>
      </c>
      <c r="E45" s="27">
        <v>3</v>
      </c>
      <c r="F45" s="27">
        <v>9</v>
      </c>
      <c r="G45" s="27">
        <v>9</v>
      </c>
      <c r="H45" s="27">
        <v>9</v>
      </c>
      <c r="I45" s="27">
        <v>9</v>
      </c>
      <c r="J45" s="28">
        <f t="shared" si="2"/>
        <v>39</v>
      </c>
      <c r="K45" s="35">
        <f t="shared" si="3"/>
        <v>7.8</v>
      </c>
    </row>
    <row r="46" spans="2:11" ht="30" x14ac:dyDescent="0.2">
      <c r="B46" s="112">
        <v>7</v>
      </c>
      <c r="C46" s="113" t="s">
        <v>22</v>
      </c>
      <c r="D46" s="114" t="s">
        <v>107</v>
      </c>
      <c r="E46" s="27">
        <v>1</v>
      </c>
      <c r="F46" s="27">
        <v>1</v>
      </c>
      <c r="G46" s="27">
        <v>1</v>
      </c>
      <c r="H46" s="27">
        <v>1</v>
      </c>
      <c r="I46" s="27">
        <v>1</v>
      </c>
      <c r="J46" s="28">
        <f t="shared" si="2"/>
        <v>5</v>
      </c>
      <c r="K46" s="35">
        <f t="shared" si="3"/>
        <v>1</v>
      </c>
    </row>
    <row r="47" spans="2:11" ht="33" customHeight="1" x14ac:dyDescent="0.2">
      <c r="B47" s="112">
        <v>8</v>
      </c>
      <c r="C47" s="114" t="s">
        <v>100</v>
      </c>
      <c r="D47" s="113" t="s">
        <v>138</v>
      </c>
      <c r="E47" s="27">
        <v>1</v>
      </c>
      <c r="F47" s="27">
        <v>1</v>
      </c>
      <c r="G47" s="27">
        <v>1</v>
      </c>
      <c r="H47" s="27">
        <v>1</v>
      </c>
      <c r="I47" s="27">
        <v>1</v>
      </c>
      <c r="J47" s="28">
        <f t="shared" si="2"/>
        <v>5</v>
      </c>
      <c r="K47" s="35">
        <f t="shared" si="3"/>
        <v>1</v>
      </c>
    </row>
    <row r="48" spans="2:11" ht="81.599999999999994" customHeight="1" x14ac:dyDescent="0.2">
      <c r="B48" s="112">
        <v>9</v>
      </c>
      <c r="C48" s="114" t="s">
        <v>101</v>
      </c>
      <c r="D48" s="113" t="s">
        <v>142</v>
      </c>
      <c r="E48" s="27">
        <v>1</v>
      </c>
      <c r="F48" s="27">
        <v>3</v>
      </c>
      <c r="G48" s="27">
        <v>1</v>
      </c>
      <c r="H48" s="27">
        <v>3</v>
      </c>
      <c r="I48" s="27">
        <v>1</v>
      </c>
      <c r="J48" s="28">
        <f t="shared" si="2"/>
        <v>9</v>
      </c>
      <c r="K48" s="33">
        <f t="shared" si="3"/>
        <v>1.8</v>
      </c>
    </row>
    <row r="49" spans="2:11" ht="25.5" customHeight="1" x14ac:dyDescent="0.2">
      <c r="B49" s="112">
        <v>10</v>
      </c>
      <c r="C49" s="118" t="s">
        <v>23</v>
      </c>
      <c r="D49" s="113" t="s">
        <v>143</v>
      </c>
      <c r="E49" s="27">
        <v>1</v>
      </c>
      <c r="F49" s="27">
        <v>1</v>
      </c>
      <c r="G49" s="27">
        <v>1</v>
      </c>
      <c r="H49" s="27">
        <v>1</v>
      </c>
      <c r="I49" s="27">
        <v>1</v>
      </c>
      <c r="J49" s="28">
        <f t="shared" si="2"/>
        <v>5</v>
      </c>
      <c r="K49" s="29">
        <f t="shared" si="3"/>
        <v>1</v>
      </c>
    </row>
    <row r="50" spans="2:11" ht="90.6" customHeight="1" x14ac:dyDescent="0.2">
      <c r="B50" s="112">
        <v>11</v>
      </c>
      <c r="C50" s="113" t="s">
        <v>24</v>
      </c>
      <c r="D50" s="113" t="s">
        <v>144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f t="shared" si="2"/>
        <v>5</v>
      </c>
      <c r="K50" s="35">
        <f t="shared" si="3"/>
        <v>1</v>
      </c>
    </row>
    <row r="51" spans="2:11" ht="92.45" customHeight="1" thickBot="1" x14ac:dyDescent="0.25">
      <c r="B51" s="112">
        <v>12</v>
      </c>
      <c r="C51" s="113" t="s">
        <v>25</v>
      </c>
      <c r="D51" s="113" t="s">
        <v>145</v>
      </c>
      <c r="E51" s="27">
        <v>1</v>
      </c>
      <c r="F51" s="27">
        <v>1</v>
      </c>
      <c r="G51" s="27">
        <v>1</v>
      </c>
      <c r="H51" s="27">
        <v>3</v>
      </c>
      <c r="I51" s="27">
        <v>1</v>
      </c>
      <c r="J51" s="28">
        <f t="shared" si="2"/>
        <v>7</v>
      </c>
      <c r="K51" s="35">
        <f t="shared" si="3"/>
        <v>1.4</v>
      </c>
    </row>
    <row r="52" spans="2:11" ht="13.15" customHeight="1" x14ac:dyDescent="0.2">
      <c r="B52" s="139" t="s">
        <v>146</v>
      </c>
      <c r="C52" s="154"/>
      <c r="D52" s="154"/>
      <c r="E52" s="154"/>
      <c r="F52" s="154"/>
      <c r="G52" s="154"/>
      <c r="H52" s="154"/>
      <c r="I52" s="154"/>
      <c r="J52" s="154"/>
      <c r="K52" s="155"/>
    </row>
    <row r="53" spans="2:11" ht="13.15" customHeight="1" x14ac:dyDescent="0.2">
      <c r="B53" s="156"/>
      <c r="C53" s="157"/>
      <c r="D53" s="157"/>
      <c r="E53" s="157"/>
      <c r="F53" s="157"/>
      <c r="G53" s="157"/>
      <c r="H53" s="157"/>
      <c r="I53" s="157"/>
      <c r="J53" s="157"/>
      <c r="K53" s="158"/>
    </row>
    <row r="54" spans="2:11" ht="13.15" customHeight="1" x14ac:dyDescent="0.2">
      <c r="B54" s="156"/>
      <c r="C54" s="157"/>
      <c r="D54" s="157"/>
      <c r="E54" s="157"/>
      <c r="F54" s="157"/>
      <c r="G54" s="157"/>
      <c r="H54" s="157"/>
      <c r="I54" s="157"/>
      <c r="J54" s="157"/>
      <c r="K54" s="158"/>
    </row>
    <row r="55" spans="2:11" ht="13.15" customHeight="1" x14ac:dyDescent="0.2">
      <c r="B55" s="156"/>
      <c r="C55" s="157"/>
      <c r="D55" s="157"/>
      <c r="E55" s="157"/>
      <c r="F55" s="157"/>
      <c r="G55" s="157"/>
      <c r="H55" s="157"/>
      <c r="I55" s="157"/>
      <c r="J55" s="157"/>
      <c r="K55" s="158"/>
    </row>
    <row r="56" spans="2:11" ht="28.15" customHeight="1" x14ac:dyDescent="0.2">
      <c r="B56" s="156"/>
      <c r="C56" s="157"/>
      <c r="D56" s="157"/>
      <c r="E56" s="157"/>
      <c r="F56" s="157"/>
      <c r="G56" s="157"/>
      <c r="H56" s="157"/>
      <c r="I56" s="157"/>
      <c r="J56" s="157"/>
      <c r="K56" s="158"/>
    </row>
    <row r="57" spans="2:11" ht="105" customHeight="1" thickBot="1" x14ac:dyDescent="0.25">
      <c r="B57" s="159"/>
      <c r="C57" s="160"/>
      <c r="D57" s="160"/>
      <c r="E57" s="160"/>
      <c r="F57" s="160"/>
      <c r="G57" s="160"/>
      <c r="H57" s="160"/>
      <c r="I57" s="160"/>
      <c r="J57" s="160"/>
      <c r="K57" s="161"/>
    </row>
    <row r="58" spans="2:11" ht="13.15" customHeight="1" x14ac:dyDescent="0.2">
      <c r="E58" s="6"/>
      <c r="F58" s="6"/>
      <c r="G58" s="6"/>
      <c r="H58" s="6"/>
      <c r="I58" s="6"/>
      <c r="J58" s="6"/>
      <c r="K58" s="6"/>
    </row>
    <row r="59" spans="2:11" ht="15" x14ac:dyDescent="0.25">
      <c r="B59" s="6"/>
      <c r="C59" s="6"/>
      <c r="D59" s="6"/>
      <c r="E59" s="150" t="s">
        <v>5</v>
      </c>
      <c r="F59" s="150"/>
      <c r="G59" s="150"/>
      <c r="H59" s="150"/>
      <c r="I59" s="150"/>
      <c r="J59" s="150"/>
      <c r="K59" s="150"/>
    </row>
    <row r="60" spans="2:11" ht="62.45" customHeight="1" x14ac:dyDescent="0.2">
      <c r="B60" s="148" t="s">
        <v>113</v>
      </c>
      <c r="C60" s="149"/>
      <c r="D60" s="105" t="s">
        <v>95</v>
      </c>
      <c r="E60" s="122" t="s">
        <v>121</v>
      </c>
      <c r="F60" s="122" t="s">
        <v>125</v>
      </c>
      <c r="G60" s="122" t="s">
        <v>124</v>
      </c>
      <c r="H60" s="122" t="s">
        <v>120</v>
      </c>
      <c r="I60" s="122" t="s">
        <v>126</v>
      </c>
      <c r="J60" s="111" t="s">
        <v>6</v>
      </c>
      <c r="K60" s="111" t="s">
        <v>7</v>
      </c>
    </row>
    <row r="61" spans="2:11" ht="30" x14ac:dyDescent="0.2">
      <c r="B61" s="112">
        <v>1</v>
      </c>
      <c r="C61" s="114" t="s">
        <v>102</v>
      </c>
      <c r="D61" s="114" t="s">
        <v>108</v>
      </c>
      <c r="E61" s="17">
        <v>1</v>
      </c>
      <c r="F61" s="17">
        <v>1</v>
      </c>
      <c r="G61" s="17">
        <v>1</v>
      </c>
      <c r="H61" s="17">
        <v>1</v>
      </c>
      <c r="I61" s="17">
        <v>1</v>
      </c>
      <c r="J61" s="18">
        <f t="shared" ref="J61:J76" si="4">SUM(E61:I61)</f>
        <v>5</v>
      </c>
      <c r="K61" s="20">
        <f t="shared" ref="K61:K76" si="5">J61/COUNTA(E61:I61)</f>
        <v>1</v>
      </c>
    </row>
    <row r="62" spans="2:11" ht="51" customHeight="1" x14ac:dyDescent="0.2">
      <c r="B62" s="112">
        <v>2</v>
      </c>
      <c r="C62" s="113" t="s">
        <v>26</v>
      </c>
      <c r="D62" s="113" t="s">
        <v>147</v>
      </c>
      <c r="E62" s="17">
        <v>3</v>
      </c>
      <c r="F62" s="17">
        <v>1</v>
      </c>
      <c r="G62" s="17">
        <v>1</v>
      </c>
      <c r="H62" s="17">
        <v>1</v>
      </c>
      <c r="I62" s="17">
        <v>1</v>
      </c>
      <c r="J62" s="18">
        <f t="shared" si="4"/>
        <v>7</v>
      </c>
      <c r="K62" s="20">
        <f t="shared" si="5"/>
        <v>1.4</v>
      </c>
    </row>
    <row r="63" spans="2:11" ht="53.45" customHeight="1" x14ac:dyDescent="0.2">
      <c r="B63" s="112">
        <v>3</v>
      </c>
      <c r="C63" s="113" t="s">
        <v>27</v>
      </c>
      <c r="D63" s="113" t="s">
        <v>148</v>
      </c>
      <c r="E63" s="17">
        <v>1</v>
      </c>
      <c r="F63" s="17">
        <v>1</v>
      </c>
      <c r="G63" s="17">
        <v>1</v>
      </c>
      <c r="H63" s="17">
        <v>1</v>
      </c>
      <c r="I63" s="17">
        <v>1</v>
      </c>
      <c r="J63" s="18">
        <f t="shared" si="4"/>
        <v>5</v>
      </c>
      <c r="K63" s="20">
        <f t="shared" si="5"/>
        <v>1</v>
      </c>
    </row>
    <row r="64" spans="2:11" ht="90" x14ac:dyDescent="0.2">
      <c r="B64" s="112">
        <v>4</v>
      </c>
      <c r="C64" s="113" t="s">
        <v>28</v>
      </c>
      <c r="D64" s="113" t="s">
        <v>118</v>
      </c>
      <c r="E64" s="17">
        <v>1</v>
      </c>
      <c r="F64" s="17">
        <v>1</v>
      </c>
      <c r="G64" s="17">
        <v>1</v>
      </c>
      <c r="H64" s="17">
        <v>1</v>
      </c>
      <c r="I64" s="17">
        <v>1</v>
      </c>
      <c r="J64" s="18">
        <f t="shared" si="4"/>
        <v>5</v>
      </c>
      <c r="K64" s="36">
        <f>J64/COUNTA(E64:I64)</f>
        <v>1</v>
      </c>
    </row>
    <row r="65" spans="2:11" ht="30" x14ac:dyDescent="0.2">
      <c r="B65" s="112">
        <v>5</v>
      </c>
      <c r="C65" s="113" t="s">
        <v>29</v>
      </c>
      <c r="D65" s="114" t="s">
        <v>109</v>
      </c>
      <c r="E65" s="17">
        <v>9</v>
      </c>
      <c r="F65" s="17">
        <v>3</v>
      </c>
      <c r="G65" s="17">
        <v>3</v>
      </c>
      <c r="H65" s="17">
        <v>9</v>
      </c>
      <c r="I65" s="17">
        <v>9</v>
      </c>
      <c r="J65" s="18">
        <f t="shared" si="4"/>
        <v>33</v>
      </c>
      <c r="K65" s="24">
        <f t="shared" si="5"/>
        <v>6.6</v>
      </c>
    </row>
    <row r="66" spans="2:11" ht="30" x14ac:dyDescent="0.2">
      <c r="B66" s="112">
        <v>6</v>
      </c>
      <c r="C66" s="118" t="s">
        <v>30</v>
      </c>
      <c r="D66" s="113" t="s">
        <v>149</v>
      </c>
      <c r="E66" s="17">
        <v>9</v>
      </c>
      <c r="F66" s="17">
        <v>9</v>
      </c>
      <c r="G66" s="17">
        <v>3</v>
      </c>
      <c r="H66" s="17">
        <v>9</v>
      </c>
      <c r="I66" s="17">
        <v>9</v>
      </c>
      <c r="J66" s="18">
        <f t="shared" si="4"/>
        <v>39</v>
      </c>
      <c r="K66" s="20">
        <f t="shared" si="5"/>
        <v>7.8</v>
      </c>
    </row>
    <row r="67" spans="2:11" ht="60" x14ac:dyDescent="0.2">
      <c r="B67" s="112">
        <v>7</v>
      </c>
      <c r="C67" s="114" t="s">
        <v>110</v>
      </c>
      <c r="D67" s="113" t="s">
        <v>119</v>
      </c>
      <c r="E67" s="17">
        <v>9</v>
      </c>
      <c r="F67" s="17">
        <v>9</v>
      </c>
      <c r="G67" s="17">
        <v>3</v>
      </c>
      <c r="H67" s="17">
        <v>9</v>
      </c>
      <c r="I67" s="17">
        <v>9</v>
      </c>
      <c r="J67" s="18">
        <f t="shared" si="4"/>
        <v>39</v>
      </c>
      <c r="K67" s="24">
        <f t="shared" si="5"/>
        <v>7.8</v>
      </c>
    </row>
    <row r="68" spans="2:11" ht="66" hidden="1" customHeight="1" x14ac:dyDescent="0.2">
      <c r="B68" s="112"/>
      <c r="C68" s="151" t="s">
        <v>115</v>
      </c>
      <c r="D68" s="152"/>
      <c r="E68" s="152"/>
      <c r="F68" s="152"/>
      <c r="G68" s="152"/>
      <c r="H68" s="152"/>
      <c r="I68" s="152"/>
      <c r="J68" s="152"/>
      <c r="K68" s="153"/>
    </row>
    <row r="69" spans="2:11" ht="45" x14ac:dyDescent="0.2">
      <c r="B69" s="112">
        <v>8</v>
      </c>
      <c r="C69" s="114" t="s">
        <v>31</v>
      </c>
      <c r="D69" s="114" t="s">
        <v>111</v>
      </c>
      <c r="E69" s="17">
        <v>9</v>
      </c>
      <c r="F69" s="17">
        <v>9</v>
      </c>
      <c r="G69" s="17">
        <v>9</v>
      </c>
      <c r="H69" s="17">
        <v>3</v>
      </c>
      <c r="I69" s="17">
        <v>9</v>
      </c>
      <c r="J69" s="18">
        <f t="shared" si="4"/>
        <v>39</v>
      </c>
      <c r="K69" s="20">
        <f t="shared" si="5"/>
        <v>7.8</v>
      </c>
    </row>
    <row r="70" spans="2:11" ht="15" x14ac:dyDescent="0.2">
      <c r="B70" s="112">
        <v>9</v>
      </c>
      <c r="C70" s="113" t="s">
        <v>32</v>
      </c>
      <c r="D70" s="119" t="s">
        <v>112</v>
      </c>
      <c r="E70" s="17">
        <v>3</v>
      </c>
      <c r="F70" s="17">
        <v>1</v>
      </c>
      <c r="G70" s="17">
        <v>1</v>
      </c>
      <c r="H70" s="17">
        <v>3</v>
      </c>
      <c r="I70" s="17">
        <v>1</v>
      </c>
      <c r="J70" s="18">
        <f t="shared" si="4"/>
        <v>9</v>
      </c>
      <c r="K70" s="20">
        <f t="shared" si="5"/>
        <v>1.8</v>
      </c>
    </row>
    <row r="71" spans="2:11" ht="45" x14ac:dyDescent="0.2">
      <c r="B71" s="112">
        <v>10</v>
      </c>
      <c r="C71" s="113" t="s">
        <v>33</v>
      </c>
      <c r="D71" s="113" t="s">
        <v>94</v>
      </c>
      <c r="E71" s="17">
        <v>1</v>
      </c>
      <c r="F71" s="17">
        <v>1</v>
      </c>
      <c r="G71" s="17">
        <v>1</v>
      </c>
      <c r="H71" s="17">
        <v>1</v>
      </c>
      <c r="I71" s="17">
        <v>1</v>
      </c>
      <c r="J71" s="18">
        <f t="shared" si="4"/>
        <v>5</v>
      </c>
      <c r="K71" s="24">
        <f t="shared" si="5"/>
        <v>1</v>
      </c>
    </row>
    <row r="72" spans="2:11" ht="30" x14ac:dyDescent="0.2">
      <c r="B72" s="112">
        <v>11</v>
      </c>
      <c r="C72" s="113" t="s">
        <v>34</v>
      </c>
      <c r="D72" s="113" t="s">
        <v>150</v>
      </c>
      <c r="E72" s="17">
        <v>3</v>
      </c>
      <c r="F72" s="17">
        <v>1</v>
      </c>
      <c r="G72" s="17">
        <v>1</v>
      </c>
      <c r="H72" s="17">
        <v>1</v>
      </c>
      <c r="I72" s="17">
        <v>3</v>
      </c>
      <c r="J72" s="18">
        <f t="shared" si="4"/>
        <v>9</v>
      </c>
      <c r="K72" s="24">
        <f t="shared" si="5"/>
        <v>1.8</v>
      </c>
    </row>
    <row r="73" spans="2:11" ht="23.25" customHeight="1" x14ac:dyDescent="0.2">
      <c r="B73" s="112">
        <v>12</v>
      </c>
      <c r="C73" s="113" t="s">
        <v>35</v>
      </c>
      <c r="D73" s="113" t="s">
        <v>151</v>
      </c>
      <c r="E73" s="17">
        <v>9</v>
      </c>
      <c r="F73" s="17">
        <v>9</v>
      </c>
      <c r="G73" s="17">
        <v>9</v>
      </c>
      <c r="H73" s="17">
        <v>9</v>
      </c>
      <c r="I73" s="17">
        <v>9</v>
      </c>
      <c r="J73" s="18">
        <f t="shared" si="4"/>
        <v>45</v>
      </c>
      <c r="K73" s="24">
        <f t="shared" si="5"/>
        <v>9</v>
      </c>
    </row>
    <row r="74" spans="2:11" ht="30" x14ac:dyDescent="0.2">
      <c r="B74" s="112">
        <v>13</v>
      </c>
      <c r="C74" s="114" t="s">
        <v>105</v>
      </c>
      <c r="D74" s="114" t="s">
        <v>106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8">
        <f t="shared" si="4"/>
        <v>5</v>
      </c>
      <c r="K74" s="36">
        <f t="shared" si="5"/>
        <v>1</v>
      </c>
    </row>
    <row r="75" spans="2:11" ht="30" x14ac:dyDescent="0.2">
      <c r="B75" s="112">
        <v>14</v>
      </c>
      <c r="C75" s="113" t="s">
        <v>36</v>
      </c>
      <c r="D75" s="113" t="s">
        <v>112</v>
      </c>
      <c r="E75" s="17">
        <v>3</v>
      </c>
      <c r="F75" s="17">
        <v>1</v>
      </c>
      <c r="G75" s="17">
        <v>1</v>
      </c>
      <c r="H75" s="17">
        <v>3</v>
      </c>
      <c r="I75" s="17">
        <v>3</v>
      </c>
      <c r="J75" s="18">
        <f t="shared" si="4"/>
        <v>11</v>
      </c>
      <c r="K75" s="20">
        <f t="shared" si="5"/>
        <v>2.2000000000000002</v>
      </c>
    </row>
    <row r="76" spans="2:11" ht="30.75" thickBot="1" x14ac:dyDescent="0.25">
      <c r="B76" s="112">
        <v>15</v>
      </c>
      <c r="C76" s="114" t="s">
        <v>104</v>
      </c>
      <c r="D76" s="114" t="s">
        <v>103</v>
      </c>
      <c r="E76" s="17">
        <v>9</v>
      </c>
      <c r="F76" s="17">
        <v>3</v>
      </c>
      <c r="G76" s="17">
        <v>9</v>
      </c>
      <c r="H76" s="17">
        <v>9</v>
      </c>
      <c r="I76" s="17">
        <v>3</v>
      </c>
      <c r="J76" s="18">
        <f t="shared" si="4"/>
        <v>33</v>
      </c>
      <c r="K76" s="37">
        <f t="shared" si="5"/>
        <v>6.6</v>
      </c>
    </row>
    <row r="77" spans="2:11" x14ac:dyDescent="0.2">
      <c r="B77" s="139" t="s">
        <v>152</v>
      </c>
      <c r="C77" s="140"/>
      <c r="D77" s="140"/>
      <c r="E77" s="140"/>
      <c r="F77" s="140"/>
      <c r="G77" s="140"/>
      <c r="H77" s="140"/>
      <c r="I77" s="140"/>
      <c r="J77" s="140"/>
      <c r="K77" s="141"/>
    </row>
    <row r="78" spans="2:11" x14ac:dyDescent="0.2">
      <c r="B78" s="142"/>
      <c r="C78" s="143"/>
      <c r="D78" s="143"/>
      <c r="E78" s="143"/>
      <c r="F78" s="143"/>
      <c r="G78" s="143"/>
      <c r="H78" s="143"/>
      <c r="I78" s="143"/>
      <c r="J78" s="143"/>
      <c r="K78" s="144"/>
    </row>
    <row r="79" spans="2:11" x14ac:dyDescent="0.2">
      <c r="B79" s="142"/>
      <c r="C79" s="143"/>
      <c r="D79" s="143"/>
      <c r="E79" s="143"/>
      <c r="F79" s="143"/>
      <c r="G79" s="143"/>
      <c r="H79" s="143"/>
      <c r="I79" s="143"/>
      <c r="J79" s="143"/>
      <c r="K79" s="144"/>
    </row>
    <row r="80" spans="2:11" x14ac:dyDescent="0.2">
      <c r="B80" s="142"/>
      <c r="C80" s="143"/>
      <c r="D80" s="143"/>
      <c r="E80" s="143"/>
      <c r="F80" s="143"/>
      <c r="G80" s="143"/>
      <c r="H80" s="143"/>
      <c r="I80" s="143"/>
      <c r="J80" s="143"/>
      <c r="K80" s="144"/>
    </row>
    <row r="81" spans="2:11" x14ac:dyDescent="0.2">
      <c r="B81" s="142"/>
      <c r="C81" s="143"/>
      <c r="D81" s="143"/>
      <c r="E81" s="143"/>
      <c r="F81" s="143"/>
      <c r="G81" s="143"/>
      <c r="H81" s="143"/>
      <c r="I81" s="143"/>
      <c r="J81" s="143"/>
      <c r="K81" s="144"/>
    </row>
    <row r="82" spans="2:11" ht="220.9" customHeight="1" thickBot="1" x14ac:dyDescent="0.25">
      <c r="B82" s="145"/>
      <c r="C82" s="146"/>
      <c r="D82" s="146"/>
      <c r="E82" s="146"/>
      <c r="F82" s="146"/>
      <c r="G82" s="146"/>
      <c r="H82" s="146"/>
      <c r="I82" s="146"/>
      <c r="J82" s="146"/>
      <c r="K82" s="147"/>
    </row>
    <row r="83" spans="2:11" x14ac:dyDescent="0.2">
      <c r="E83" s="6"/>
      <c r="F83" s="6"/>
      <c r="G83" s="6"/>
      <c r="H83" s="6"/>
      <c r="I83" s="6"/>
      <c r="J83" s="6"/>
      <c r="K83" s="6"/>
    </row>
    <row r="84" spans="2:11" x14ac:dyDescent="0.2">
      <c r="E84" s="6"/>
      <c r="F84" s="6"/>
      <c r="G84" s="6"/>
      <c r="H84" s="6"/>
      <c r="I84" s="6"/>
      <c r="J84" s="6"/>
      <c r="K84" s="6"/>
    </row>
    <row r="85" spans="2:11" x14ac:dyDescent="0.2">
      <c r="E85" s="6"/>
      <c r="F85" s="6"/>
      <c r="G85" s="6"/>
      <c r="H85" s="6"/>
      <c r="I85" s="6"/>
      <c r="J85" s="6"/>
      <c r="K85" s="6"/>
    </row>
    <row r="86" spans="2:11" x14ac:dyDescent="0.2">
      <c r="E86" s="6"/>
      <c r="F86" s="6"/>
      <c r="G86" s="6"/>
      <c r="H86" s="6"/>
      <c r="I86" s="6"/>
      <c r="J86" s="6"/>
      <c r="K86" s="6"/>
    </row>
    <row r="87" spans="2:11" x14ac:dyDescent="0.2">
      <c r="E87" s="6"/>
      <c r="F87" s="6"/>
      <c r="G87" s="6"/>
      <c r="H87" s="6"/>
      <c r="I87" s="6"/>
      <c r="J87" s="6"/>
      <c r="K87" s="6"/>
    </row>
    <row r="88" spans="2:11" x14ac:dyDescent="0.2">
      <c r="E88" s="6"/>
      <c r="F88" s="6"/>
      <c r="G88" s="6"/>
      <c r="H88" s="6"/>
      <c r="I88" s="6"/>
      <c r="J88" s="6"/>
      <c r="K88" s="6"/>
    </row>
    <row r="89" spans="2:11" x14ac:dyDescent="0.2">
      <c r="E89" s="6"/>
      <c r="F89" s="6"/>
      <c r="G89" s="6"/>
      <c r="H89" s="6"/>
      <c r="I89" s="6"/>
      <c r="J89" s="6"/>
      <c r="K89" s="6"/>
    </row>
    <row r="90" spans="2:11" x14ac:dyDescent="0.2">
      <c r="E90" s="6"/>
      <c r="F90" s="6"/>
      <c r="G90" s="6"/>
      <c r="H90" s="6"/>
      <c r="I90" s="6"/>
      <c r="J90" s="6"/>
      <c r="K90" s="6"/>
    </row>
    <row r="91" spans="2:11" x14ac:dyDescent="0.2">
      <c r="E91" s="6"/>
      <c r="F91" s="6"/>
      <c r="G91" s="6"/>
      <c r="H91" s="6"/>
      <c r="I91" s="6"/>
      <c r="J91" s="6"/>
      <c r="K91" s="6"/>
    </row>
    <row r="92" spans="2:11" x14ac:dyDescent="0.2">
      <c r="E92" s="6"/>
      <c r="F92" s="6"/>
      <c r="G92" s="6"/>
      <c r="H92" s="6"/>
      <c r="I92" s="6"/>
      <c r="J92" s="6"/>
      <c r="K92" s="6"/>
    </row>
    <row r="93" spans="2:11" x14ac:dyDescent="0.2">
      <c r="E93" s="6"/>
      <c r="F93" s="6"/>
      <c r="G93" s="6"/>
      <c r="H93" s="6"/>
      <c r="I93" s="6"/>
      <c r="J93" s="6"/>
      <c r="K93" s="6"/>
    </row>
    <row r="94" spans="2:11" x14ac:dyDescent="0.2">
      <c r="E94" s="6"/>
      <c r="F94" s="6"/>
      <c r="G94" s="6"/>
      <c r="H94" s="6"/>
      <c r="I94" s="6"/>
      <c r="J94" s="6"/>
      <c r="K94" s="6"/>
    </row>
    <row r="95" spans="2:11" x14ac:dyDescent="0.2">
      <c r="E95" s="6"/>
      <c r="F95" s="6"/>
      <c r="G95" s="6"/>
      <c r="H95" s="6"/>
      <c r="I95" s="6"/>
      <c r="J95" s="6"/>
      <c r="K95" s="6"/>
    </row>
    <row r="96" spans="2:11" x14ac:dyDescent="0.2">
      <c r="E96" s="6"/>
      <c r="F96" s="6"/>
      <c r="G96" s="6"/>
      <c r="H96" s="6"/>
      <c r="I96" s="6"/>
      <c r="J96" s="6"/>
      <c r="K96" s="6"/>
    </row>
    <row r="97" spans="5:11" x14ac:dyDescent="0.2">
      <c r="E97" s="6"/>
      <c r="F97" s="6"/>
      <c r="G97" s="6"/>
      <c r="H97" s="6"/>
      <c r="I97" s="6"/>
      <c r="J97" s="6"/>
      <c r="K97" s="6"/>
    </row>
    <row r="98" spans="5:11" x14ac:dyDescent="0.2">
      <c r="E98" s="6"/>
      <c r="F98" s="6"/>
      <c r="G98" s="6"/>
      <c r="H98" s="6"/>
      <c r="I98" s="6"/>
      <c r="J98" s="6"/>
      <c r="K98" s="6"/>
    </row>
    <row r="99" spans="5:11" x14ac:dyDescent="0.2">
      <c r="E99" s="6"/>
      <c r="F99" s="6"/>
      <c r="G99" s="6"/>
      <c r="H99" s="6"/>
      <c r="I99" s="6"/>
      <c r="J99" s="6"/>
      <c r="K99" s="6"/>
    </row>
    <row r="100" spans="5:11" x14ac:dyDescent="0.2">
      <c r="E100" s="6"/>
      <c r="F100" s="6"/>
      <c r="G100" s="6"/>
      <c r="H100" s="6"/>
      <c r="I100" s="6"/>
      <c r="J100" s="6"/>
      <c r="K100" s="6"/>
    </row>
    <row r="101" spans="5:11" x14ac:dyDescent="0.2">
      <c r="E101" s="6"/>
      <c r="F101" s="6"/>
      <c r="G101" s="6"/>
      <c r="H101" s="6"/>
      <c r="I101" s="6"/>
      <c r="J101" s="6"/>
      <c r="K101" s="6"/>
    </row>
    <row r="102" spans="5:11" x14ac:dyDescent="0.2">
      <c r="E102" s="6"/>
      <c r="F102" s="6"/>
      <c r="G102" s="6"/>
      <c r="H102" s="6"/>
      <c r="I102" s="6"/>
      <c r="J102" s="6"/>
      <c r="K102" s="6"/>
    </row>
    <row r="103" spans="5:11" x14ac:dyDescent="0.2">
      <c r="E103" s="6"/>
      <c r="F103" s="6"/>
      <c r="G103" s="6"/>
      <c r="H103" s="6"/>
      <c r="I103" s="6"/>
      <c r="J103" s="6"/>
      <c r="K103" s="6"/>
    </row>
    <row r="104" spans="5:11" x14ac:dyDescent="0.2">
      <c r="E104" s="6"/>
      <c r="F104" s="6"/>
      <c r="G104" s="6"/>
      <c r="H104" s="6"/>
      <c r="I104" s="6"/>
      <c r="J104" s="6"/>
      <c r="K104" s="6"/>
    </row>
    <row r="105" spans="5:11" x14ac:dyDescent="0.2">
      <c r="E105" s="6"/>
      <c r="F105" s="6"/>
      <c r="G105" s="6"/>
      <c r="H105" s="6"/>
      <c r="I105" s="6"/>
      <c r="J105" s="6"/>
      <c r="K105" s="6"/>
    </row>
    <row r="106" spans="5:11" x14ac:dyDescent="0.2">
      <c r="E106" s="6"/>
      <c r="F106" s="6"/>
      <c r="G106" s="6"/>
      <c r="H106" s="6"/>
      <c r="I106" s="6"/>
      <c r="J106" s="6"/>
      <c r="K106" s="6"/>
    </row>
    <row r="107" spans="5:11" x14ac:dyDescent="0.2">
      <c r="E107" s="6"/>
      <c r="F107" s="6"/>
      <c r="G107" s="6"/>
      <c r="H107" s="6"/>
      <c r="I107" s="6"/>
      <c r="J107" s="6"/>
      <c r="K107" s="6"/>
    </row>
    <row r="108" spans="5:11" x14ac:dyDescent="0.2">
      <c r="E108" s="6"/>
      <c r="F108" s="6"/>
      <c r="G108" s="6"/>
      <c r="H108" s="6"/>
      <c r="I108" s="6"/>
      <c r="J108" s="6"/>
      <c r="K108" s="6"/>
    </row>
    <row r="109" spans="5:11" x14ac:dyDescent="0.2">
      <c r="E109" s="6"/>
      <c r="F109" s="6"/>
      <c r="G109" s="6"/>
      <c r="H109" s="6"/>
      <c r="I109" s="6"/>
      <c r="J109" s="6"/>
      <c r="K109" s="6"/>
    </row>
    <row r="110" spans="5:11" x14ac:dyDescent="0.2">
      <c r="E110" s="6"/>
      <c r="F110" s="6"/>
      <c r="G110" s="6"/>
      <c r="H110" s="6"/>
      <c r="I110" s="6"/>
      <c r="J110" s="6"/>
      <c r="K110" s="6"/>
    </row>
    <row r="111" spans="5:11" x14ac:dyDescent="0.2">
      <c r="E111" s="6"/>
      <c r="F111" s="6"/>
      <c r="G111" s="6"/>
      <c r="H111" s="6"/>
      <c r="I111" s="6"/>
      <c r="J111" s="6"/>
      <c r="K111" s="6"/>
    </row>
    <row r="112" spans="5:11" x14ac:dyDescent="0.2">
      <c r="E112" s="6"/>
      <c r="F112" s="6"/>
      <c r="G112" s="6"/>
      <c r="H112" s="6"/>
      <c r="I112" s="6"/>
      <c r="J112" s="6"/>
      <c r="K112" s="6"/>
    </row>
    <row r="113" spans="5:11" x14ac:dyDescent="0.2">
      <c r="E113" s="6"/>
      <c r="F113" s="6"/>
      <c r="G113" s="6"/>
      <c r="H113" s="6"/>
      <c r="I113" s="6"/>
      <c r="J113" s="6"/>
      <c r="K113" s="6"/>
    </row>
    <row r="114" spans="5:11" x14ac:dyDescent="0.2">
      <c r="E114" s="6"/>
      <c r="F114" s="6"/>
      <c r="G114" s="6"/>
      <c r="H114" s="6"/>
      <c r="I114" s="6"/>
      <c r="J114" s="6"/>
      <c r="K114" s="6"/>
    </row>
    <row r="115" spans="5:11" x14ac:dyDescent="0.2">
      <c r="E115" s="6"/>
      <c r="F115" s="6"/>
      <c r="G115" s="6"/>
      <c r="H115" s="6"/>
      <c r="I115" s="6"/>
      <c r="J115" s="6"/>
      <c r="K115" s="6"/>
    </row>
    <row r="116" spans="5:11" x14ac:dyDescent="0.2">
      <c r="E116" s="6"/>
      <c r="F116" s="6"/>
      <c r="G116" s="6"/>
      <c r="H116" s="6"/>
      <c r="I116" s="6"/>
      <c r="J116" s="6"/>
      <c r="K116" s="6"/>
    </row>
    <row r="117" spans="5:11" x14ac:dyDescent="0.2">
      <c r="E117" s="6"/>
      <c r="F117" s="6"/>
      <c r="G117" s="6"/>
      <c r="H117" s="6"/>
      <c r="I117" s="6"/>
      <c r="J117" s="6"/>
      <c r="K117" s="6"/>
    </row>
    <row r="118" spans="5:11" x14ac:dyDescent="0.2">
      <c r="E118" s="6"/>
      <c r="F118" s="6"/>
      <c r="G118" s="6"/>
      <c r="H118" s="6"/>
      <c r="I118" s="6"/>
      <c r="J118" s="6"/>
      <c r="K118" s="6"/>
    </row>
    <row r="119" spans="5:11" x14ac:dyDescent="0.2">
      <c r="E119" s="6"/>
      <c r="F119" s="6"/>
      <c r="G119" s="6"/>
      <c r="H119" s="6"/>
      <c r="I119" s="6"/>
      <c r="J119" s="6"/>
      <c r="K119" s="6"/>
    </row>
    <row r="120" spans="5:11" x14ac:dyDescent="0.2">
      <c r="E120" s="6"/>
      <c r="F120" s="6"/>
      <c r="G120" s="6"/>
      <c r="H120" s="6"/>
      <c r="I120" s="6"/>
      <c r="J120" s="6"/>
      <c r="K120" s="6"/>
    </row>
    <row r="121" spans="5:11" x14ac:dyDescent="0.2">
      <c r="E121" s="6"/>
      <c r="F121" s="6"/>
      <c r="G121" s="6"/>
      <c r="H121" s="6"/>
      <c r="I121" s="6"/>
      <c r="J121" s="6"/>
      <c r="K121" s="6"/>
    </row>
    <row r="122" spans="5:11" x14ac:dyDescent="0.2">
      <c r="E122" s="6"/>
      <c r="F122" s="6"/>
      <c r="G122" s="6"/>
      <c r="H122" s="6"/>
      <c r="I122" s="6"/>
      <c r="J122" s="6"/>
      <c r="K122" s="6"/>
    </row>
    <row r="123" spans="5:11" x14ac:dyDescent="0.2">
      <c r="E123" s="6"/>
      <c r="F123" s="6"/>
      <c r="G123" s="6"/>
      <c r="H123" s="6"/>
      <c r="I123" s="6"/>
      <c r="J123" s="6"/>
      <c r="K123" s="6"/>
    </row>
    <row r="124" spans="5:11" x14ac:dyDescent="0.2">
      <c r="E124" s="6"/>
      <c r="F124" s="6"/>
      <c r="G124" s="6"/>
      <c r="H124" s="6"/>
      <c r="I124" s="6"/>
      <c r="J124" s="6"/>
      <c r="K124" s="6"/>
    </row>
    <row r="125" spans="5:11" x14ac:dyDescent="0.2">
      <c r="E125" s="6"/>
      <c r="F125" s="6"/>
      <c r="G125" s="6"/>
      <c r="H125" s="6"/>
      <c r="I125" s="6"/>
      <c r="J125" s="6"/>
      <c r="K125" s="6"/>
    </row>
    <row r="126" spans="5:11" x14ac:dyDescent="0.2">
      <c r="E126" s="6"/>
      <c r="F126" s="6"/>
      <c r="G126" s="6"/>
      <c r="H126" s="6"/>
      <c r="I126" s="6"/>
      <c r="J126" s="6"/>
      <c r="K126" s="6"/>
    </row>
    <row r="127" spans="5:11" x14ac:dyDescent="0.2">
      <c r="E127" s="6"/>
      <c r="F127" s="6"/>
      <c r="G127" s="6"/>
      <c r="H127" s="6"/>
      <c r="I127" s="6"/>
      <c r="J127" s="6"/>
      <c r="K127" s="6"/>
    </row>
    <row r="128" spans="5:11" x14ac:dyDescent="0.2">
      <c r="E128" s="6"/>
      <c r="F128" s="6"/>
      <c r="G128" s="6"/>
      <c r="H128" s="6"/>
      <c r="I128" s="6"/>
      <c r="J128" s="6"/>
      <c r="K128" s="6"/>
    </row>
    <row r="129" spans="5:11" x14ac:dyDescent="0.2">
      <c r="E129" s="6"/>
      <c r="F129" s="6"/>
      <c r="G129" s="6"/>
      <c r="H129" s="6"/>
      <c r="I129" s="6"/>
      <c r="J129" s="6"/>
      <c r="K129" s="6"/>
    </row>
    <row r="130" spans="5:11" x14ac:dyDescent="0.2">
      <c r="E130" s="6"/>
      <c r="F130" s="6"/>
      <c r="G130" s="6"/>
      <c r="H130" s="6"/>
      <c r="I130" s="6"/>
      <c r="J130" s="6"/>
      <c r="K130" s="6"/>
    </row>
    <row r="131" spans="5:11" x14ac:dyDescent="0.2">
      <c r="E131" s="6"/>
      <c r="F131" s="6"/>
      <c r="G131" s="6"/>
      <c r="H131" s="6"/>
      <c r="I131" s="6"/>
      <c r="J131" s="6"/>
      <c r="K131" s="6"/>
    </row>
    <row r="132" spans="5:11" x14ac:dyDescent="0.2">
      <c r="E132" s="6"/>
      <c r="F132" s="6"/>
      <c r="G132" s="6"/>
      <c r="H132" s="6"/>
      <c r="I132" s="6"/>
      <c r="J132" s="6"/>
      <c r="K132" s="6"/>
    </row>
    <row r="133" spans="5:11" x14ac:dyDescent="0.2">
      <c r="E133" s="6"/>
      <c r="F133" s="6"/>
      <c r="G133" s="6"/>
      <c r="H133" s="6"/>
      <c r="I133" s="6"/>
      <c r="J133" s="6"/>
      <c r="K133" s="6"/>
    </row>
    <row r="134" spans="5:11" x14ac:dyDescent="0.2">
      <c r="E134" s="6"/>
      <c r="F134" s="6"/>
      <c r="G134" s="6"/>
      <c r="H134" s="6"/>
      <c r="I134" s="6"/>
      <c r="J134" s="6"/>
      <c r="K134" s="6"/>
    </row>
    <row r="135" spans="5:11" x14ac:dyDescent="0.2">
      <c r="E135" s="6"/>
      <c r="F135" s="6"/>
      <c r="G135" s="6"/>
      <c r="H135" s="6"/>
      <c r="I135" s="6"/>
      <c r="J135" s="6"/>
      <c r="K135" s="6"/>
    </row>
    <row r="136" spans="5:11" x14ac:dyDescent="0.2">
      <c r="E136" s="6"/>
      <c r="F136" s="6"/>
      <c r="G136" s="6"/>
      <c r="H136" s="6"/>
      <c r="I136" s="6"/>
      <c r="J136" s="6"/>
      <c r="K136" s="6"/>
    </row>
    <row r="137" spans="5:11" x14ac:dyDescent="0.2">
      <c r="E137" s="6"/>
      <c r="F137" s="6"/>
      <c r="G137" s="6"/>
      <c r="H137" s="6"/>
      <c r="I137" s="6"/>
      <c r="J137" s="6"/>
      <c r="K137" s="6"/>
    </row>
    <row r="138" spans="5:11" x14ac:dyDescent="0.2">
      <c r="E138" s="6"/>
      <c r="F138" s="6"/>
      <c r="G138" s="6"/>
      <c r="H138" s="6"/>
      <c r="I138" s="6"/>
      <c r="J138" s="6"/>
      <c r="K138" s="6"/>
    </row>
    <row r="139" spans="5:11" x14ac:dyDescent="0.2">
      <c r="E139" s="6"/>
      <c r="F139" s="6"/>
      <c r="G139" s="6"/>
      <c r="H139" s="6"/>
      <c r="I139" s="6"/>
      <c r="J139" s="6"/>
      <c r="K139" s="6"/>
    </row>
    <row r="140" spans="5:11" x14ac:dyDescent="0.2">
      <c r="E140" s="6"/>
      <c r="F140" s="6"/>
      <c r="G140" s="6"/>
      <c r="H140" s="6"/>
      <c r="I140" s="6"/>
      <c r="J140" s="6"/>
      <c r="K140" s="6"/>
    </row>
    <row r="141" spans="5:11" x14ac:dyDescent="0.2">
      <c r="E141" s="6"/>
      <c r="F141" s="6"/>
      <c r="G141" s="6"/>
      <c r="H141" s="6"/>
      <c r="I141" s="6"/>
      <c r="J141" s="6"/>
      <c r="K141" s="6"/>
    </row>
    <row r="142" spans="5:11" x14ac:dyDescent="0.2">
      <c r="E142" s="6"/>
      <c r="F142" s="6"/>
      <c r="G142" s="6"/>
      <c r="H142" s="6"/>
      <c r="I142" s="6"/>
      <c r="J142" s="6"/>
      <c r="K142" s="6"/>
    </row>
    <row r="143" spans="5:11" x14ac:dyDescent="0.2">
      <c r="E143" s="6"/>
      <c r="F143" s="6"/>
      <c r="G143" s="6"/>
      <c r="H143" s="6"/>
      <c r="I143" s="6"/>
      <c r="J143" s="6"/>
      <c r="K143" s="6"/>
    </row>
    <row r="144" spans="5:11" x14ac:dyDescent="0.2">
      <c r="E144" s="6"/>
      <c r="F144" s="6"/>
      <c r="G144" s="6"/>
      <c r="H144" s="6"/>
      <c r="I144" s="6"/>
      <c r="J144" s="6"/>
      <c r="K144" s="6"/>
    </row>
    <row r="145" spans="5:11" x14ac:dyDescent="0.2">
      <c r="E145" s="6"/>
      <c r="F145" s="6"/>
      <c r="G145" s="6"/>
      <c r="H145" s="6"/>
      <c r="I145" s="6"/>
      <c r="J145" s="6"/>
      <c r="K145" s="6"/>
    </row>
    <row r="146" spans="5:11" x14ac:dyDescent="0.2">
      <c r="E146" s="6"/>
      <c r="F146" s="6"/>
      <c r="G146" s="6"/>
      <c r="H146" s="6"/>
      <c r="I146" s="6"/>
      <c r="J146" s="6"/>
      <c r="K146" s="6"/>
    </row>
    <row r="147" spans="5:11" x14ac:dyDescent="0.2">
      <c r="E147" s="6"/>
      <c r="F147" s="6"/>
      <c r="G147" s="6"/>
      <c r="H147" s="6"/>
      <c r="I147" s="6"/>
      <c r="J147" s="6"/>
      <c r="K147" s="6"/>
    </row>
    <row r="148" spans="5:11" x14ac:dyDescent="0.2">
      <c r="E148" s="6"/>
      <c r="F148" s="6"/>
      <c r="G148" s="6"/>
      <c r="H148" s="6"/>
      <c r="I148" s="6"/>
      <c r="J148" s="6"/>
      <c r="K148" s="6"/>
    </row>
    <row r="149" spans="5:11" x14ac:dyDescent="0.2">
      <c r="E149" s="6"/>
      <c r="F149" s="6"/>
      <c r="G149" s="6"/>
      <c r="H149" s="6"/>
      <c r="I149" s="6"/>
      <c r="J149" s="6"/>
      <c r="K149" s="6"/>
    </row>
    <row r="150" spans="5:11" x14ac:dyDescent="0.2">
      <c r="E150" s="6"/>
      <c r="F150" s="6"/>
      <c r="G150" s="6"/>
      <c r="H150" s="6"/>
      <c r="I150" s="6"/>
      <c r="J150" s="6"/>
      <c r="K150" s="6"/>
    </row>
    <row r="151" spans="5:11" x14ac:dyDescent="0.2">
      <c r="E151" s="6"/>
      <c r="F151" s="6"/>
      <c r="G151" s="6"/>
      <c r="H151" s="6"/>
      <c r="I151" s="6"/>
      <c r="J151" s="6"/>
      <c r="K151" s="6"/>
    </row>
    <row r="152" spans="5:11" x14ac:dyDescent="0.2">
      <c r="E152" s="6"/>
      <c r="F152" s="6"/>
      <c r="G152" s="6"/>
      <c r="H152" s="6"/>
      <c r="I152" s="6"/>
      <c r="J152" s="6"/>
      <c r="K152" s="6"/>
    </row>
    <row r="153" spans="5:11" x14ac:dyDescent="0.2">
      <c r="E153" s="6"/>
      <c r="F153" s="6"/>
      <c r="G153" s="6"/>
      <c r="H153" s="6"/>
      <c r="I153" s="6"/>
      <c r="J153" s="6"/>
      <c r="K153" s="6"/>
    </row>
    <row r="154" spans="5:11" x14ac:dyDescent="0.2">
      <c r="E154" s="6"/>
      <c r="F154" s="6"/>
      <c r="G154" s="6"/>
      <c r="H154" s="6"/>
      <c r="I154" s="6"/>
      <c r="J154" s="6"/>
      <c r="K154" s="6"/>
    </row>
    <row r="155" spans="5:11" x14ac:dyDescent="0.2">
      <c r="E155" s="6"/>
      <c r="F155" s="6"/>
      <c r="G155" s="6"/>
      <c r="H155" s="6"/>
      <c r="I155" s="6"/>
      <c r="J155" s="6"/>
      <c r="K155" s="6"/>
    </row>
    <row r="156" spans="5:11" x14ac:dyDescent="0.2">
      <c r="E156" s="6"/>
      <c r="F156" s="6"/>
      <c r="G156" s="6"/>
      <c r="H156" s="6"/>
      <c r="I156" s="6"/>
      <c r="J156" s="6"/>
      <c r="K156" s="6"/>
    </row>
    <row r="157" spans="5:11" x14ac:dyDescent="0.2">
      <c r="E157" s="6"/>
      <c r="F157" s="6"/>
      <c r="G157" s="6"/>
      <c r="H157" s="6"/>
      <c r="I157" s="6"/>
      <c r="J157" s="6"/>
      <c r="K157" s="6"/>
    </row>
    <row r="158" spans="5:11" x14ac:dyDescent="0.2">
      <c r="E158" s="6"/>
      <c r="F158" s="6"/>
      <c r="G158" s="6"/>
      <c r="H158" s="6"/>
      <c r="I158" s="6"/>
      <c r="J158" s="6"/>
      <c r="K158" s="6"/>
    </row>
    <row r="159" spans="5:11" x14ac:dyDescent="0.2">
      <c r="E159" s="6"/>
      <c r="F159" s="6"/>
      <c r="G159" s="6"/>
      <c r="H159" s="6"/>
      <c r="I159" s="6"/>
      <c r="J159" s="6"/>
      <c r="K159" s="6"/>
    </row>
    <row r="160" spans="5:11" x14ac:dyDescent="0.2">
      <c r="E160" s="6"/>
      <c r="F160" s="6"/>
      <c r="G160" s="6"/>
      <c r="H160" s="6"/>
      <c r="I160" s="6"/>
      <c r="J160" s="6"/>
      <c r="K160" s="6"/>
    </row>
    <row r="161" spans="5:11" x14ac:dyDescent="0.2">
      <c r="E161" s="6"/>
      <c r="F161" s="6"/>
      <c r="G161" s="6"/>
      <c r="H161" s="6"/>
      <c r="I161" s="6"/>
      <c r="J161" s="6"/>
      <c r="K161" s="6"/>
    </row>
    <row r="162" spans="5:11" x14ac:dyDescent="0.2">
      <c r="E162" s="6"/>
      <c r="F162" s="6"/>
      <c r="G162" s="6"/>
      <c r="H162" s="6"/>
      <c r="I162" s="6"/>
      <c r="J162" s="6"/>
      <c r="K162" s="6"/>
    </row>
    <row r="163" spans="5:11" x14ac:dyDescent="0.2">
      <c r="E163" s="6"/>
      <c r="F163" s="6"/>
      <c r="G163" s="6"/>
      <c r="H163" s="6"/>
      <c r="I163" s="6"/>
      <c r="J163" s="6"/>
      <c r="K163" s="6"/>
    </row>
    <row r="164" spans="5:11" x14ac:dyDescent="0.2">
      <c r="E164" s="6"/>
      <c r="F164" s="6"/>
      <c r="G164" s="6"/>
      <c r="H164" s="6"/>
      <c r="I164" s="6"/>
      <c r="J164" s="6"/>
      <c r="K164" s="6"/>
    </row>
    <row r="165" spans="5:11" x14ac:dyDescent="0.2">
      <c r="E165" s="6"/>
      <c r="F165" s="6"/>
      <c r="G165" s="6"/>
      <c r="H165" s="6"/>
      <c r="I165" s="6"/>
      <c r="J165" s="6"/>
      <c r="K165" s="6"/>
    </row>
    <row r="166" spans="5:11" x14ac:dyDescent="0.2">
      <c r="E166" s="6"/>
      <c r="F166" s="6"/>
      <c r="G166" s="6"/>
      <c r="H166" s="6"/>
      <c r="I166" s="6"/>
      <c r="J166" s="6"/>
      <c r="K166" s="6"/>
    </row>
    <row r="167" spans="5:11" x14ac:dyDescent="0.2">
      <c r="E167" s="6"/>
      <c r="F167" s="6"/>
      <c r="G167" s="6"/>
      <c r="H167" s="6"/>
      <c r="I167" s="6"/>
      <c r="J167" s="6"/>
      <c r="K167" s="6"/>
    </row>
    <row r="168" spans="5:11" x14ac:dyDescent="0.2">
      <c r="E168" s="6"/>
      <c r="F168" s="6"/>
      <c r="G168" s="6"/>
      <c r="H168" s="6"/>
      <c r="I168" s="6"/>
      <c r="J168" s="6"/>
      <c r="K168" s="6"/>
    </row>
    <row r="169" spans="5:11" x14ac:dyDescent="0.2">
      <c r="E169" s="6"/>
      <c r="F169" s="6"/>
      <c r="G169" s="6"/>
      <c r="H169" s="6"/>
      <c r="I169" s="6"/>
      <c r="J169" s="6"/>
      <c r="K169" s="6"/>
    </row>
    <row r="170" spans="5:11" x14ac:dyDescent="0.2">
      <c r="E170" s="6"/>
      <c r="F170" s="6"/>
      <c r="G170" s="6"/>
      <c r="H170" s="6"/>
      <c r="I170" s="6"/>
      <c r="J170" s="6"/>
      <c r="K170" s="6"/>
    </row>
    <row r="171" spans="5:11" x14ac:dyDescent="0.2">
      <c r="E171" s="6"/>
      <c r="F171" s="6"/>
      <c r="G171" s="6"/>
      <c r="H171" s="6"/>
      <c r="I171" s="6"/>
      <c r="J171" s="6"/>
      <c r="K171" s="6"/>
    </row>
    <row r="172" spans="5:11" x14ac:dyDescent="0.2">
      <c r="E172" s="6"/>
      <c r="F172" s="6"/>
      <c r="G172" s="6"/>
      <c r="H172" s="6"/>
      <c r="I172" s="6"/>
      <c r="J172" s="6"/>
      <c r="K172" s="6"/>
    </row>
    <row r="173" spans="5:11" x14ac:dyDescent="0.2">
      <c r="E173" s="6"/>
      <c r="F173" s="6"/>
      <c r="G173" s="6"/>
      <c r="H173" s="6"/>
      <c r="I173" s="6"/>
      <c r="J173" s="6"/>
      <c r="K173" s="6"/>
    </row>
    <row r="174" spans="5:11" x14ac:dyDescent="0.2">
      <c r="E174" s="6"/>
      <c r="F174" s="6"/>
      <c r="G174" s="6"/>
      <c r="H174" s="6"/>
      <c r="I174" s="6"/>
      <c r="J174" s="6"/>
      <c r="K174" s="6"/>
    </row>
    <row r="175" spans="5:11" x14ac:dyDescent="0.2">
      <c r="E175" s="6"/>
      <c r="F175" s="6"/>
      <c r="G175" s="6"/>
      <c r="H175" s="6"/>
      <c r="I175" s="6"/>
      <c r="J175" s="6"/>
      <c r="K175" s="6"/>
    </row>
    <row r="176" spans="5:11" x14ac:dyDescent="0.2">
      <c r="E176" s="6"/>
      <c r="F176" s="6"/>
      <c r="G176" s="6"/>
      <c r="H176" s="6"/>
      <c r="I176" s="6"/>
      <c r="J176" s="6"/>
      <c r="K176" s="6"/>
    </row>
    <row r="177" spans="5:11" x14ac:dyDescent="0.2">
      <c r="E177" s="6"/>
      <c r="F177" s="6"/>
      <c r="G177" s="6"/>
      <c r="H177" s="6"/>
      <c r="I177" s="6"/>
      <c r="J177" s="6"/>
      <c r="K177" s="6"/>
    </row>
    <row r="178" spans="5:11" x14ac:dyDescent="0.2">
      <c r="E178" s="6"/>
      <c r="F178" s="6"/>
      <c r="G178" s="6"/>
      <c r="H178" s="6"/>
      <c r="I178" s="6"/>
      <c r="J178" s="6"/>
      <c r="K178" s="6"/>
    </row>
    <row r="179" spans="5:11" x14ac:dyDescent="0.2">
      <c r="E179" s="6"/>
      <c r="F179" s="6"/>
      <c r="G179" s="6"/>
      <c r="H179" s="6"/>
      <c r="I179" s="6"/>
      <c r="J179" s="6"/>
      <c r="K179" s="6"/>
    </row>
    <row r="180" spans="5:11" x14ac:dyDescent="0.2">
      <c r="E180" s="6"/>
      <c r="F180" s="6"/>
      <c r="G180" s="6"/>
      <c r="H180" s="6"/>
      <c r="I180" s="6"/>
      <c r="J180" s="6"/>
      <c r="K180" s="6"/>
    </row>
    <row r="181" spans="5:11" x14ac:dyDescent="0.2">
      <c r="E181" s="6"/>
      <c r="F181" s="6"/>
      <c r="G181" s="6"/>
      <c r="H181" s="6"/>
      <c r="I181" s="6"/>
      <c r="J181" s="6"/>
      <c r="K181" s="6"/>
    </row>
    <row r="182" spans="5:11" x14ac:dyDescent="0.2">
      <c r="E182" s="6"/>
      <c r="F182" s="6"/>
      <c r="G182" s="6"/>
      <c r="H182" s="6"/>
      <c r="I182" s="6"/>
      <c r="J182" s="6"/>
      <c r="K182" s="6"/>
    </row>
    <row r="183" spans="5:11" x14ac:dyDescent="0.2">
      <c r="E183" s="6"/>
      <c r="F183" s="6"/>
      <c r="G183" s="6"/>
      <c r="H183" s="6"/>
      <c r="I183" s="6"/>
      <c r="J183" s="6"/>
      <c r="K183" s="6"/>
    </row>
    <row r="184" spans="5:11" x14ac:dyDescent="0.2">
      <c r="E184" s="6"/>
      <c r="F184" s="6"/>
      <c r="G184" s="6"/>
      <c r="H184" s="6"/>
      <c r="I184" s="6"/>
      <c r="J184" s="6"/>
      <c r="K184" s="6"/>
    </row>
    <row r="185" spans="5:11" x14ac:dyDescent="0.2">
      <c r="E185" s="6"/>
      <c r="F185" s="6"/>
      <c r="G185" s="6"/>
      <c r="H185" s="6"/>
      <c r="I185" s="6"/>
      <c r="J185" s="6"/>
      <c r="K185" s="6"/>
    </row>
    <row r="186" spans="5:11" x14ac:dyDescent="0.2">
      <c r="E186" s="6"/>
      <c r="F186" s="6"/>
      <c r="G186" s="6"/>
      <c r="H186" s="6"/>
      <c r="I186" s="6"/>
      <c r="J186" s="6"/>
      <c r="K186" s="6"/>
    </row>
    <row r="187" spans="5:11" x14ac:dyDescent="0.2">
      <c r="E187" s="6"/>
      <c r="F187" s="6"/>
      <c r="G187" s="6"/>
      <c r="H187" s="6"/>
      <c r="I187" s="6"/>
      <c r="J187" s="6"/>
      <c r="K187" s="6"/>
    </row>
    <row r="188" spans="5:11" x14ac:dyDescent="0.2">
      <c r="E188" s="6"/>
      <c r="F188" s="6"/>
      <c r="G188" s="6"/>
      <c r="H188" s="6"/>
      <c r="I188" s="6"/>
      <c r="J188" s="6"/>
      <c r="K188" s="6"/>
    </row>
    <row r="189" spans="5:11" x14ac:dyDescent="0.2">
      <c r="E189" s="6"/>
      <c r="F189" s="6"/>
      <c r="G189" s="6"/>
      <c r="H189" s="6"/>
      <c r="I189" s="6"/>
      <c r="J189" s="6"/>
      <c r="K189" s="6"/>
    </row>
    <row r="190" spans="5:11" x14ac:dyDescent="0.2">
      <c r="E190" s="6"/>
      <c r="F190" s="6"/>
      <c r="G190" s="6"/>
      <c r="H190" s="6"/>
      <c r="I190" s="6"/>
      <c r="J190" s="6"/>
      <c r="K190" s="6"/>
    </row>
    <row r="191" spans="5:11" x14ac:dyDescent="0.2">
      <c r="E191" s="6"/>
      <c r="F191" s="6"/>
      <c r="G191" s="6"/>
      <c r="H191" s="6"/>
      <c r="I191" s="6"/>
      <c r="J191" s="6"/>
      <c r="K191" s="6"/>
    </row>
    <row r="192" spans="5:11" x14ac:dyDescent="0.2">
      <c r="E192" s="6"/>
      <c r="F192" s="6"/>
      <c r="G192" s="6"/>
      <c r="H192" s="6"/>
      <c r="I192" s="6"/>
      <c r="J192" s="6"/>
      <c r="K192" s="6"/>
    </row>
    <row r="193" spans="5:11" x14ac:dyDescent="0.2">
      <c r="E193" s="6"/>
      <c r="F193" s="6"/>
      <c r="G193" s="6"/>
      <c r="H193" s="6"/>
      <c r="I193" s="6"/>
      <c r="J193" s="6"/>
      <c r="K193" s="6"/>
    </row>
    <row r="194" spans="5:11" x14ac:dyDescent="0.2">
      <c r="E194" s="6"/>
      <c r="F194" s="6"/>
      <c r="G194" s="6"/>
      <c r="H194" s="6"/>
      <c r="I194" s="6"/>
      <c r="J194" s="6"/>
      <c r="K194" s="6"/>
    </row>
    <row r="195" spans="5:11" x14ac:dyDescent="0.2">
      <c r="E195" s="6"/>
      <c r="F195" s="6"/>
      <c r="G195" s="6"/>
      <c r="H195" s="6"/>
      <c r="I195" s="6"/>
      <c r="J195" s="6"/>
      <c r="K195" s="6"/>
    </row>
    <row r="196" spans="5:11" x14ac:dyDescent="0.2">
      <c r="E196" s="6"/>
      <c r="F196" s="6"/>
      <c r="G196" s="6"/>
      <c r="H196" s="6"/>
      <c r="I196" s="6"/>
      <c r="J196" s="6"/>
      <c r="K196" s="6"/>
    </row>
    <row r="197" spans="5:11" x14ac:dyDescent="0.2">
      <c r="E197" s="6"/>
      <c r="F197" s="6"/>
      <c r="G197" s="6"/>
      <c r="H197" s="6"/>
      <c r="I197" s="6"/>
      <c r="J197" s="6"/>
      <c r="K197" s="6"/>
    </row>
    <row r="198" spans="5:11" x14ac:dyDescent="0.2">
      <c r="E198" s="6"/>
      <c r="F198" s="6"/>
      <c r="G198" s="6"/>
      <c r="H198" s="6"/>
      <c r="I198" s="6"/>
      <c r="J198" s="6"/>
      <c r="K198" s="6"/>
    </row>
    <row r="199" spans="5:11" x14ac:dyDescent="0.2">
      <c r="E199" s="6"/>
      <c r="F199" s="6"/>
      <c r="G199" s="6"/>
      <c r="H199" s="6"/>
      <c r="I199" s="6"/>
      <c r="J199" s="6"/>
      <c r="K199" s="6"/>
    </row>
    <row r="200" spans="5:11" x14ac:dyDescent="0.2">
      <c r="E200" s="6"/>
      <c r="F200" s="6"/>
      <c r="G200" s="6"/>
      <c r="H200" s="6"/>
      <c r="I200" s="6"/>
      <c r="J200" s="6"/>
      <c r="K200" s="6"/>
    </row>
    <row r="201" spans="5:11" x14ac:dyDescent="0.2">
      <c r="E201" s="6"/>
      <c r="F201" s="6"/>
      <c r="G201" s="6"/>
      <c r="H201" s="6"/>
      <c r="I201" s="6"/>
      <c r="J201" s="6"/>
      <c r="K201" s="6"/>
    </row>
    <row r="202" spans="5:11" x14ac:dyDescent="0.2">
      <c r="E202" s="6"/>
      <c r="F202" s="6"/>
      <c r="G202" s="6"/>
      <c r="H202" s="6"/>
      <c r="I202" s="6"/>
      <c r="J202" s="6"/>
      <c r="K202" s="6"/>
    </row>
    <row r="203" spans="5:11" x14ac:dyDescent="0.2">
      <c r="E203" s="6"/>
      <c r="F203" s="6"/>
      <c r="G203" s="6"/>
      <c r="H203" s="6"/>
      <c r="I203" s="6"/>
      <c r="J203" s="6"/>
      <c r="K203" s="6"/>
    </row>
    <row r="204" spans="5:11" x14ac:dyDescent="0.2">
      <c r="E204" s="6"/>
      <c r="F204" s="6"/>
      <c r="G204" s="6"/>
      <c r="H204" s="6"/>
      <c r="I204" s="6"/>
      <c r="J204" s="6"/>
      <c r="K204" s="6"/>
    </row>
    <row r="205" spans="5:11" x14ac:dyDescent="0.2">
      <c r="E205" s="6"/>
      <c r="F205" s="6"/>
      <c r="G205" s="6"/>
      <c r="H205" s="6"/>
      <c r="I205" s="6"/>
      <c r="J205" s="6"/>
      <c r="K205" s="6"/>
    </row>
    <row r="206" spans="5:11" x14ac:dyDescent="0.2">
      <c r="E206" s="6"/>
      <c r="F206" s="6"/>
      <c r="G206" s="6"/>
      <c r="H206" s="6"/>
      <c r="I206" s="6"/>
      <c r="J206" s="6"/>
      <c r="K206" s="6"/>
    </row>
    <row r="207" spans="5:11" x14ac:dyDescent="0.2">
      <c r="E207" s="6"/>
      <c r="F207" s="6"/>
      <c r="G207" s="6"/>
      <c r="H207" s="6"/>
      <c r="I207" s="6"/>
      <c r="J207" s="6"/>
      <c r="K207" s="6"/>
    </row>
    <row r="208" spans="5:11" x14ac:dyDescent="0.2">
      <c r="E208" s="6"/>
      <c r="F208" s="6"/>
      <c r="G208" s="6"/>
      <c r="H208" s="6"/>
      <c r="I208" s="6"/>
      <c r="J208" s="6"/>
      <c r="K208" s="6"/>
    </row>
    <row r="209" spans="5:11" x14ac:dyDescent="0.2">
      <c r="E209" s="6"/>
      <c r="F209" s="6"/>
      <c r="G209" s="6"/>
      <c r="H209" s="6"/>
      <c r="I209" s="6"/>
      <c r="J209" s="6"/>
      <c r="K209" s="6"/>
    </row>
    <row r="210" spans="5:11" x14ac:dyDescent="0.2">
      <c r="E210" s="6"/>
      <c r="F210" s="6"/>
      <c r="G210" s="6"/>
      <c r="H210" s="6"/>
      <c r="I210" s="6"/>
      <c r="J210" s="6"/>
      <c r="K210" s="6"/>
    </row>
    <row r="211" spans="5:11" x14ac:dyDescent="0.2">
      <c r="E211" s="6"/>
      <c r="F211" s="6"/>
      <c r="G211" s="6"/>
      <c r="H211" s="6"/>
      <c r="I211" s="6"/>
      <c r="J211" s="6"/>
      <c r="K211" s="6"/>
    </row>
    <row r="212" spans="5:11" x14ac:dyDescent="0.2">
      <c r="E212" s="6"/>
      <c r="F212" s="6"/>
      <c r="G212" s="6"/>
      <c r="H212" s="6"/>
      <c r="I212" s="6"/>
      <c r="J212" s="6"/>
      <c r="K212" s="6"/>
    </row>
    <row r="213" spans="5:11" x14ac:dyDescent="0.2">
      <c r="E213" s="6"/>
      <c r="F213" s="6"/>
      <c r="G213" s="6"/>
      <c r="H213" s="6"/>
      <c r="I213" s="6"/>
      <c r="J213" s="6"/>
      <c r="K213" s="6"/>
    </row>
    <row r="214" spans="5:11" x14ac:dyDescent="0.2">
      <c r="E214" s="6"/>
      <c r="F214" s="6"/>
      <c r="G214" s="6"/>
      <c r="H214" s="6"/>
      <c r="I214" s="6"/>
      <c r="J214" s="6"/>
      <c r="K214" s="6"/>
    </row>
    <row r="215" spans="5:11" x14ac:dyDescent="0.2">
      <c r="E215" s="6"/>
      <c r="F215" s="6"/>
      <c r="G215" s="6"/>
      <c r="H215" s="6"/>
      <c r="I215" s="6"/>
      <c r="J215" s="6"/>
      <c r="K215" s="6"/>
    </row>
    <row r="216" spans="5:11" x14ac:dyDescent="0.2">
      <c r="E216" s="6"/>
      <c r="F216" s="6"/>
      <c r="G216" s="6"/>
      <c r="H216" s="6"/>
      <c r="I216" s="6"/>
      <c r="J216" s="6"/>
      <c r="K216" s="6"/>
    </row>
    <row r="217" spans="5:11" x14ac:dyDescent="0.2">
      <c r="E217" s="6"/>
      <c r="F217" s="6"/>
      <c r="G217" s="6"/>
      <c r="H217" s="6"/>
      <c r="I217" s="6"/>
      <c r="J217" s="6"/>
      <c r="K217" s="6"/>
    </row>
    <row r="218" spans="5:11" x14ac:dyDescent="0.2">
      <c r="E218" s="6"/>
      <c r="F218" s="6"/>
      <c r="G218" s="6"/>
      <c r="H218" s="6"/>
      <c r="I218" s="6"/>
      <c r="J218" s="6"/>
      <c r="K218" s="6"/>
    </row>
    <row r="219" spans="5:11" x14ac:dyDescent="0.2">
      <c r="E219" s="6"/>
      <c r="F219" s="6"/>
      <c r="G219" s="6"/>
      <c r="H219" s="6"/>
      <c r="I219" s="6"/>
      <c r="J219" s="6"/>
      <c r="K219" s="6"/>
    </row>
    <row r="220" spans="5:11" x14ac:dyDescent="0.2">
      <c r="E220" s="6"/>
      <c r="F220" s="6"/>
      <c r="G220" s="6"/>
      <c r="H220" s="6"/>
      <c r="I220" s="6"/>
      <c r="J220" s="6"/>
      <c r="K220" s="6"/>
    </row>
    <row r="221" spans="5:11" x14ac:dyDescent="0.2">
      <c r="E221" s="6"/>
      <c r="F221" s="6"/>
      <c r="G221" s="6"/>
      <c r="H221" s="6"/>
      <c r="I221" s="6"/>
      <c r="J221" s="6"/>
      <c r="K221" s="6"/>
    </row>
    <row r="222" spans="5:11" x14ac:dyDescent="0.2">
      <c r="E222" s="6"/>
      <c r="F222" s="6"/>
      <c r="G222" s="6"/>
      <c r="H222" s="6"/>
      <c r="I222" s="6"/>
      <c r="J222" s="6"/>
      <c r="K222" s="6"/>
    </row>
    <row r="223" spans="5:11" x14ac:dyDescent="0.2">
      <c r="E223" s="6"/>
      <c r="F223" s="6"/>
      <c r="G223" s="6"/>
      <c r="H223" s="6"/>
      <c r="I223" s="6"/>
      <c r="J223" s="6"/>
      <c r="K223" s="6"/>
    </row>
    <row r="224" spans="5:11" x14ac:dyDescent="0.2">
      <c r="E224" s="6"/>
      <c r="F224" s="6"/>
      <c r="G224" s="6"/>
      <c r="H224" s="6"/>
      <c r="I224" s="6"/>
      <c r="J224" s="6"/>
      <c r="K224" s="6"/>
    </row>
    <row r="225" spans="5:11" x14ac:dyDescent="0.2">
      <c r="E225" s="6"/>
      <c r="F225" s="6"/>
      <c r="G225" s="6"/>
      <c r="H225" s="6"/>
      <c r="I225" s="6"/>
      <c r="J225" s="6"/>
      <c r="K225" s="6"/>
    </row>
    <row r="226" spans="5:11" x14ac:dyDescent="0.2">
      <c r="E226" s="6"/>
      <c r="F226" s="6"/>
      <c r="G226" s="6"/>
      <c r="H226" s="6"/>
      <c r="I226" s="6"/>
      <c r="J226" s="6"/>
      <c r="K226" s="6"/>
    </row>
    <row r="227" spans="5:11" x14ac:dyDescent="0.2">
      <c r="E227" s="6"/>
      <c r="F227" s="6"/>
      <c r="G227" s="6"/>
      <c r="H227" s="6"/>
      <c r="I227" s="6"/>
      <c r="J227" s="6"/>
      <c r="K227" s="6"/>
    </row>
    <row r="228" spans="5:11" x14ac:dyDescent="0.2">
      <c r="E228" s="6"/>
      <c r="F228" s="6"/>
      <c r="G228" s="6"/>
      <c r="H228" s="6"/>
      <c r="I228" s="6"/>
      <c r="J228" s="6"/>
      <c r="K228" s="6"/>
    </row>
    <row r="229" spans="5:11" x14ac:dyDescent="0.2">
      <c r="E229" s="6"/>
      <c r="F229" s="6"/>
      <c r="G229" s="6"/>
      <c r="H229" s="6"/>
      <c r="I229" s="6"/>
      <c r="J229" s="6"/>
      <c r="K229" s="6"/>
    </row>
    <row r="230" spans="5:11" x14ac:dyDescent="0.2">
      <c r="E230" s="6"/>
      <c r="F230" s="6"/>
      <c r="G230" s="6"/>
      <c r="H230" s="6"/>
      <c r="I230" s="6"/>
      <c r="J230" s="6"/>
      <c r="K230" s="6"/>
    </row>
    <row r="231" spans="5:11" x14ac:dyDescent="0.2">
      <c r="E231" s="6"/>
      <c r="F231" s="6"/>
      <c r="G231" s="6"/>
      <c r="H231" s="6"/>
      <c r="I231" s="6"/>
      <c r="J231" s="6"/>
      <c r="K231" s="6"/>
    </row>
    <row r="232" spans="5:11" x14ac:dyDescent="0.2">
      <c r="E232" s="6"/>
      <c r="F232" s="6"/>
      <c r="G232" s="6"/>
      <c r="H232" s="6"/>
      <c r="I232" s="6"/>
      <c r="J232" s="6"/>
      <c r="K232" s="6"/>
    </row>
    <row r="233" spans="5:11" x14ac:dyDescent="0.2">
      <c r="E233" s="6"/>
      <c r="F233" s="6"/>
      <c r="G233" s="6"/>
      <c r="H233" s="6"/>
      <c r="I233" s="6"/>
      <c r="J233" s="6"/>
      <c r="K233" s="6"/>
    </row>
    <row r="234" spans="5:11" x14ac:dyDescent="0.2">
      <c r="E234" s="6"/>
      <c r="F234" s="6"/>
      <c r="G234" s="6"/>
      <c r="H234" s="6"/>
      <c r="I234" s="6"/>
      <c r="J234" s="6"/>
      <c r="K234" s="6"/>
    </row>
    <row r="235" spans="5:11" x14ac:dyDescent="0.2">
      <c r="E235" s="6"/>
      <c r="F235" s="6"/>
      <c r="G235" s="6"/>
      <c r="H235" s="6"/>
      <c r="I235" s="6"/>
      <c r="J235" s="6"/>
      <c r="K235" s="6"/>
    </row>
    <row r="236" spans="5:11" x14ac:dyDescent="0.2">
      <c r="E236" s="6"/>
      <c r="F236" s="6"/>
      <c r="G236" s="6"/>
      <c r="H236" s="6"/>
      <c r="I236" s="6"/>
      <c r="J236" s="6"/>
      <c r="K236" s="6"/>
    </row>
    <row r="237" spans="5:11" x14ac:dyDescent="0.2">
      <c r="E237" s="6"/>
      <c r="F237" s="6"/>
      <c r="G237" s="6"/>
      <c r="H237" s="6"/>
      <c r="I237" s="6"/>
      <c r="J237" s="6"/>
      <c r="K237" s="6"/>
    </row>
    <row r="238" spans="5:11" x14ac:dyDescent="0.2">
      <c r="E238" s="6"/>
      <c r="F238" s="6"/>
      <c r="G238" s="6"/>
      <c r="H238" s="6"/>
      <c r="I238" s="6"/>
      <c r="J238" s="6"/>
      <c r="K238" s="6"/>
    </row>
    <row r="239" spans="5:11" x14ac:dyDescent="0.2">
      <c r="E239" s="6"/>
      <c r="F239" s="6"/>
      <c r="G239" s="6"/>
      <c r="H239" s="6"/>
      <c r="I239" s="6"/>
      <c r="J239" s="6"/>
      <c r="K239" s="6"/>
    </row>
    <row r="240" spans="5:11" x14ac:dyDescent="0.2">
      <c r="E240" s="6"/>
      <c r="F240" s="6"/>
      <c r="G240" s="6"/>
      <c r="H240" s="6"/>
      <c r="I240" s="6"/>
      <c r="J240" s="6"/>
      <c r="K240" s="6"/>
    </row>
    <row r="241" spans="5:11" x14ac:dyDescent="0.2">
      <c r="E241" s="6"/>
      <c r="F241" s="6"/>
      <c r="G241" s="6"/>
      <c r="H241" s="6"/>
      <c r="I241" s="6"/>
      <c r="J241" s="6"/>
      <c r="K241" s="6"/>
    </row>
    <row r="242" spans="5:11" x14ac:dyDescent="0.2">
      <c r="E242" s="6"/>
      <c r="F242" s="6"/>
      <c r="G242" s="6"/>
      <c r="H242" s="6"/>
      <c r="I242" s="6"/>
      <c r="J242" s="6"/>
      <c r="K242" s="6"/>
    </row>
    <row r="243" spans="5:11" x14ac:dyDescent="0.2">
      <c r="E243" s="6"/>
      <c r="F243" s="6"/>
      <c r="G243" s="6"/>
      <c r="H243" s="6"/>
      <c r="I243" s="6"/>
      <c r="J243" s="6"/>
      <c r="K243" s="6"/>
    </row>
    <row r="244" spans="5:11" x14ac:dyDescent="0.2">
      <c r="E244" s="6"/>
      <c r="F244" s="6"/>
      <c r="G244" s="6"/>
      <c r="H244" s="6"/>
      <c r="I244" s="6"/>
      <c r="J244" s="6"/>
      <c r="K244" s="6"/>
    </row>
    <row r="245" spans="5:11" x14ac:dyDescent="0.2">
      <c r="E245" s="6"/>
      <c r="F245" s="6"/>
      <c r="G245" s="6"/>
      <c r="H245" s="6"/>
      <c r="I245" s="6"/>
      <c r="J245" s="6"/>
      <c r="K245" s="6"/>
    </row>
  </sheetData>
  <mergeCells count="15">
    <mergeCell ref="I4:J4"/>
    <mergeCell ref="F5:J5"/>
    <mergeCell ref="F6:J6"/>
    <mergeCell ref="B3:K3"/>
    <mergeCell ref="B77:K82"/>
    <mergeCell ref="B60:C60"/>
    <mergeCell ref="E59:K59"/>
    <mergeCell ref="C68:K68"/>
    <mergeCell ref="B52:K57"/>
    <mergeCell ref="E16:K16"/>
    <mergeCell ref="E38:K38"/>
    <mergeCell ref="B39:C39"/>
    <mergeCell ref="B30:K35"/>
    <mergeCell ref="D16:D17"/>
    <mergeCell ref="B16:C17"/>
  </mergeCells>
  <conditionalFormatting sqref="K18:K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K5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1:K67 K69:K7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4" right="0.24" top="0.3" bottom="0.26" header="0" footer="0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defaultColWidth="12" defaultRowHeight="15" customHeight="1" x14ac:dyDescent="0.2"/>
  <sheetData>
    <row r="1" spans="2:12" ht="15.75" customHeight="1" x14ac:dyDescent="0.25">
      <c r="B1" s="2"/>
      <c r="C1" s="3"/>
      <c r="D1" s="38"/>
      <c r="E1" s="4"/>
      <c r="F1" s="4"/>
      <c r="G1" s="4"/>
      <c r="H1" s="4"/>
      <c r="I1" s="4"/>
      <c r="J1" s="4"/>
      <c r="K1" s="4"/>
      <c r="L1" s="39"/>
    </row>
    <row r="2" spans="2:12" ht="15.75" customHeight="1" x14ac:dyDescent="0.25">
      <c r="B2" s="7"/>
      <c r="C2" s="8" t="s">
        <v>37</v>
      </c>
      <c r="D2" s="40"/>
      <c r="E2" s="9"/>
      <c r="F2" s="9"/>
      <c r="G2" s="9"/>
      <c r="H2" s="9"/>
      <c r="I2" s="9"/>
      <c r="J2" s="9"/>
      <c r="K2" s="9"/>
      <c r="L2" s="41"/>
    </row>
    <row r="3" spans="2:12" ht="15.75" customHeight="1" x14ac:dyDescent="0.25">
      <c r="B3" s="7"/>
      <c r="C3" s="8" t="s">
        <v>0</v>
      </c>
      <c r="D3" s="40"/>
      <c r="E3" s="9"/>
      <c r="F3" s="9"/>
      <c r="G3" s="9"/>
      <c r="H3" s="9"/>
      <c r="I3" s="9"/>
      <c r="J3" s="9"/>
      <c r="K3" s="9"/>
      <c r="L3" s="41"/>
    </row>
    <row r="4" spans="2:12" ht="15.75" customHeight="1" x14ac:dyDescent="0.25">
      <c r="B4" s="7"/>
      <c r="C4" s="10" t="s">
        <v>1</v>
      </c>
      <c r="D4" s="42">
        <v>1</v>
      </c>
      <c r="E4" s="9"/>
      <c r="F4" s="9"/>
      <c r="G4" s="9"/>
      <c r="H4" s="9"/>
      <c r="I4" s="9"/>
      <c r="J4" s="9"/>
      <c r="K4" s="9"/>
      <c r="L4" s="41"/>
    </row>
    <row r="5" spans="2:12" ht="15.75" customHeight="1" x14ac:dyDescent="0.25">
      <c r="B5" s="7"/>
      <c r="C5" s="12" t="s">
        <v>2</v>
      </c>
      <c r="D5" s="42">
        <v>3</v>
      </c>
      <c r="E5" s="9"/>
      <c r="F5" s="9"/>
      <c r="G5" s="9"/>
      <c r="H5" s="9"/>
      <c r="I5" s="9"/>
      <c r="J5" s="9"/>
      <c r="K5" s="9"/>
      <c r="L5" s="41"/>
    </row>
    <row r="6" spans="2:12" ht="15.75" customHeight="1" x14ac:dyDescent="0.25">
      <c r="B6" s="7"/>
      <c r="C6" s="12" t="s">
        <v>3</v>
      </c>
      <c r="D6" s="42">
        <v>9</v>
      </c>
      <c r="E6" s="9"/>
      <c r="F6" s="9"/>
      <c r="G6" s="9"/>
      <c r="H6" s="9"/>
      <c r="I6" s="9"/>
      <c r="J6" s="9"/>
      <c r="K6" s="9"/>
      <c r="L6" s="41"/>
    </row>
    <row r="7" spans="2:12" ht="15.75" customHeight="1" x14ac:dyDescent="0.2">
      <c r="B7" s="7"/>
      <c r="C7" s="8" t="s">
        <v>4</v>
      </c>
      <c r="D7" s="43"/>
      <c r="E7" s="9"/>
      <c r="F7" s="9"/>
      <c r="G7" s="9"/>
      <c r="H7" s="9"/>
      <c r="I7" s="9"/>
      <c r="J7" s="9"/>
      <c r="K7" s="9"/>
      <c r="L7" s="41"/>
    </row>
    <row r="8" spans="2:12" ht="15.75" customHeight="1" x14ac:dyDescent="0.25">
      <c r="B8" s="7"/>
      <c r="C8" s="8" t="s">
        <v>38</v>
      </c>
      <c r="D8" s="43"/>
      <c r="E8" s="9"/>
      <c r="F8" s="9"/>
      <c r="G8" s="9"/>
      <c r="H8" s="9"/>
      <c r="I8" s="9"/>
      <c r="J8" s="9"/>
      <c r="K8" s="9"/>
      <c r="L8" s="41"/>
    </row>
    <row r="9" spans="2:12" ht="15.75" customHeight="1" x14ac:dyDescent="0.2">
      <c r="B9" s="14"/>
      <c r="C9" s="44"/>
      <c r="D9" s="44"/>
      <c r="E9" s="15"/>
      <c r="F9" s="15"/>
      <c r="G9" s="15"/>
      <c r="H9" s="15"/>
      <c r="I9" s="15"/>
      <c r="J9" s="15"/>
      <c r="K9" s="15"/>
      <c r="L9" s="45"/>
    </row>
    <row r="10" spans="2:12" ht="15.75" customHeight="1" x14ac:dyDescent="0.2"/>
    <row r="11" spans="2:12" ht="15.75" customHeight="1" x14ac:dyDescent="0.2"/>
    <row r="12" spans="2:12" ht="15.75" customHeight="1" x14ac:dyDescent="0.2"/>
    <row r="13" spans="2:12" ht="15.75" customHeight="1" x14ac:dyDescent="0.2"/>
    <row r="14" spans="2:12" ht="15.75" customHeight="1" x14ac:dyDescent="0.2"/>
    <row r="15" spans="2:12" ht="15.75" customHeight="1" x14ac:dyDescent="0.2"/>
    <row r="16" spans="2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1:T1017"/>
  <sheetViews>
    <sheetView topLeftCell="A22" workbookViewId="0"/>
  </sheetViews>
  <sheetFormatPr defaultColWidth="12" defaultRowHeight="15" customHeight="1" x14ac:dyDescent="0.2"/>
  <cols>
    <col min="2" max="2" width="3.85546875" customWidth="1"/>
    <col min="3" max="3" width="27" customWidth="1"/>
    <col min="5" max="6" width="27" customWidth="1"/>
    <col min="8" max="8" width="27" customWidth="1"/>
  </cols>
  <sheetData>
    <row r="1" spans="2:10" ht="15.75" customHeight="1" x14ac:dyDescent="0.2">
      <c r="B1" s="46"/>
      <c r="C1" s="51"/>
      <c r="D1" s="51"/>
      <c r="E1" s="51"/>
      <c r="F1" s="51"/>
      <c r="G1" s="51"/>
      <c r="H1" s="51"/>
      <c r="I1" s="51"/>
      <c r="J1" s="52"/>
    </row>
    <row r="2" spans="2:10" ht="15.75" customHeight="1" x14ac:dyDescent="0.2">
      <c r="B2" s="47"/>
      <c r="C2" s="48" t="s">
        <v>74</v>
      </c>
      <c r="D2" s="56"/>
      <c r="E2" s="56"/>
      <c r="F2" s="56"/>
      <c r="G2" s="56"/>
      <c r="H2" s="56"/>
      <c r="I2" s="56"/>
      <c r="J2" s="55"/>
    </row>
    <row r="3" spans="2:10" ht="15.75" customHeight="1" x14ac:dyDescent="0.25">
      <c r="B3" s="47"/>
      <c r="C3" s="48" t="s">
        <v>75</v>
      </c>
      <c r="D3" s="56"/>
      <c r="E3" s="56"/>
      <c r="F3" s="56"/>
      <c r="G3" s="56"/>
      <c r="H3" s="56"/>
      <c r="I3" s="56"/>
      <c r="J3" s="55"/>
    </row>
    <row r="4" spans="2:10" ht="15.75" customHeight="1" x14ac:dyDescent="0.25">
      <c r="B4" s="47"/>
      <c r="C4" s="48" t="s">
        <v>76</v>
      </c>
      <c r="D4" s="56"/>
      <c r="E4" s="56"/>
      <c r="F4" s="56"/>
      <c r="G4" s="56"/>
      <c r="H4" s="56"/>
      <c r="I4" s="56"/>
      <c r="J4" s="55"/>
    </row>
    <row r="5" spans="2:10" ht="15.75" customHeight="1" x14ac:dyDescent="0.2">
      <c r="B5" s="47"/>
      <c r="C5" s="48" t="s">
        <v>40</v>
      </c>
      <c r="D5" s="56"/>
      <c r="E5" s="56"/>
      <c r="F5" s="56"/>
      <c r="G5" s="56"/>
      <c r="H5" s="56"/>
      <c r="I5" s="56"/>
      <c r="J5" s="55"/>
    </row>
    <row r="6" spans="2:10" ht="15.75" customHeight="1" x14ac:dyDescent="0.2">
      <c r="B6" s="47"/>
      <c r="C6" s="48" t="s">
        <v>41</v>
      </c>
      <c r="D6" s="56"/>
      <c r="E6" s="56"/>
      <c r="F6" s="56"/>
      <c r="G6" s="56"/>
      <c r="H6" s="56"/>
      <c r="I6" s="56"/>
      <c r="J6" s="55"/>
    </row>
    <row r="7" spans="2:10" ht="15.75" customHeight="1" x14ac:dyDescent="0.25">
      <c r="B7" s="47"/>
      <c r="C7" s="48" t="s">
        <v>42</v>
      </c>
      <c r="D7" s="56"/>
      <c r="E7" s="57"/>
      <c r="F7" s="57"/>
      <c r="G7" s="57"/>
      <c r="H7" s="58"/>
      <c r="I7" s="56"/>
      <c r="J7" s="55"/>
    </row>
    <row r="8" spans="2:10" ht="15.75" customHeight="1" x14ac:dyDescent="0.25">
      <c r="B8" s="47"/>
      <c r="C8" s="92" t="s">
        <v>77</v>
      </c>
      <c r="D8" s="56"/>
      <c r="E8" s="57"/>
      <c r="F8" s="57"/>
      <c r="G8" s="57"/>
      <c r="H8" s="58"/>
      <c r="I8" s="56"/>
      <c r="J8" s="55"/>
    </row>
    <row r="9" spans="2:10" ht="15.75" customHeight="1" x14ac:dyDescent="0.25">
      <c r="B9" s="47"/>
      <c r="C9" s="56"/>
      <c r="D9" s="56"/>
      <c r="E9" s="57"/>
      <c r="F9" s="57"/>
      <c r="G9" s="57"/>
      <c r="H9" s="58"/>
      <c r="I9" s="56"/>
      <c r="J9" s="55"/>
    </row>
    <row r="10" spans="2:10" ht="15.75" customHeight="1" x14ac:dyDescent="0.25">
      <c r="B10" s="47"/>
      <c r="C10" s="56"/>
      <c r="D10" s="56"/>
      <c r="E10" s="57"/>
      <c r="F10" s="57"/>
      <c r="G10" s="57"/>
      <c r="H10" s="58"/>
      <c r="I10" s="56"/>
      <c r="J10" s="55"/>
    </row>
    <row r="11" spans="2:10" ht="15.75" customHeight="1" x14ac:dyDescent="0.25">
      <c r="B11" s="47"/>
      <c r="C11" s="56"/>
      <c r="D11" s="56"/>
      <c r="E11" s="59" t="s">
        <v>43</v>
      </c>
      <c r="F11" s="59" t="s">
        <v>44</v>
      </c>
      <c r="G11" s="59" t="s">
        <v>45</v>
      </c>
      <c r="H11" s="60"/>
      <c r="I11" s="56"/>
      <c r="J11" s="55"/>
    </row>
    <row r="12" spans="2:10" ht="15.75" customHeight="1" x14ac:dyDescent="0.2">
      <c r="B12" s="47"/>
      <c r="C12" s="56"/>
      <c r="D12" s="56"/>
      <c r="E12" s="61" t="s">
        <v>46</v>
      </c>
      <c r="F12" s="62" t="s">
        <v>46</v>
      </c>
      <c r="G12" s="61" t="s">
        <v>47</v>
      </c>
      <c r="H12" s="63"/>
      <c r="I12" s="56"/>
      <c r="J12" s="55"/>
    </row>
    <row r="13" spans="2:10" ht="15.75" customHeight="1" x14ac:dyDescent="0.2">
      <c r="B13" s="47"/>
      <c r="C13" s="56"/>
      <c r="D13" s="56"/>
      <c r="E13" s="61" t="s">
        <v>48</v>
      </c>
      <c r="F13" s="62" t="s">
        <v>49</v>
      </c>
      <c r="G13" s="61" t="s">
        <v>50</v>
      </c>
      <c r="H13" s="63"/>
      <c r="I13" s="56"/>
      <c r="J13" s="55"/>
    </row>
    <row r="14" spans="2:10" ht="15.75" customHeight="1" x14ac:dyDescent="0.2">
      <c r="B14" s="47"/>
      <c r="C14" s="56"/>
      <c r="D14" s="56"/>
      <c r="E14" s="61" t="s">
        <v>51</v>
      </c>
      <c r="F14" s="62" t="s">
        <v>52</v>
      </c>
      <c r="G14" s="61" t="s">
        <v>53</v>
      </c>
      <c r="H14" s="63"/>
      <c r="I14" s="56"/>
      <c r="J14" s="55"/>
    </row>
    <row r="15" spans="2:10" ht="15.75" customHeight="1" x14ac:dyDescent="0.2">
      <c r="B15" s="47"/>
      <c r="C15" s="56"/>
      <c r="D15" s="56"/>
      <c r="E15" s="61" t="s">
        <v>54</v>
      </c>
      <c r="F15" s="62" t="s">
        <v>54</v>
      </c>
      <c r="G15" s="61" t="s">
        <v>55</v>
      </c>
      <c r="H15" s="63"/>
      <c r="I15" s="56"/>
      <c r="J15" s="55"/>
    </row>
    <row r="16" spans="2:10" ht="15.75" customHeight="1" x14ac:dyDescent="0.2">
      <c r="B16" s="47"/>
      <c r="C16" s="56"/>
      <c r="D16" s="56"/>
      <c r="E16" s="61" t="s">
        <v>56</v>
      </c>
      <c r="F16" s="62" t="s">
        <v>56</v>
      </c>
      <c r="G16" s="61" t="s">
        <v>57</v>
      </c>
      <c r="H16" s="63"/>
      <c r="I16" s="56"/>
      <c r="J16" s="55"/>
    </row>
    <row r="17" spans="2:11" ht="15.75" customHeight="1" x14ac:dyDescent="0.2">
      <c r="B17" s="47"/>
      <c r="C17" s="56"/>
      <c r="D17" s="56"/>
      <c r="E17" s="61" t="s">
        <v>58</v>
      </c>
      <c r="F17" s="62" t="s">
        <v>58</v>
      </c>
      <c r="G17" s="61" t="s">
        <v>59</v>
      </c>
      <c r="H17" s="63"/>
      <c r="I17" s="56"/>
      <c r="J17" s="55"/>
    </row>
    <row r="18" spans="2:11" ht="15.75" customHeight="1" x14ac:dyDescent="0.2">
      <c r="B18" s="47"/>
      <c r="C18" s="56"/>
      <c r="D18" s="56"/>
      <c r="E18" s="61" t="s">
        <v>60</v>
      </c>
      <c r="F18" s="62" t="s">
        <v>61</v>
      </c>
      <c r="G18" s="61" t="s">
        <v>62</v>
      </c>
      <c r="H18" s="63"/>
      <c r="I18" s="56"/>
      <c r="J18" s="55"/>
    </row>
    <row r="19" spans="2:11" ht="15.75" customHeight="1" x14ac:dyDescent="0.2">
      <c r="B19" s="47"/>
      <c r="C19" s="56"/>
      <c r="D19" s="56"/>
      <c r="E19" s="61" t="s">
        <v>63</v>
      </c>
      <c r="F19" s="62" t="s">
        <v>63</v>
      </c>
      <c r="G19" s="61" t="s">
        <v>64</v>
      </c>
      <c r="H19" s="63"/>
      <c r="I19" s="56"/>
      <c r="J19" s="55"/>
    </row>
    <row r="20" spans="2:11" ht="15.75" customHeight="1" x14ac:dyDescent="0.2">
      <c r="B20" s="47"/>
      <c r="C20" s="56"/>
      <c r="D20" s="56"/>
      <c r="E20" s="61" t="s">
        <v>65</v>
      </c>
      <c r="F20" s="62" t="s">
        <v>65</v>
      </c>
      <c r="G20" s="61" t="s">
        <v>66</v>
      </c>
      <c r="H20" s="63"/>
      <c r="I20" s="56"/>
      <c r="J20" s="55"/>
    </row>
    <row r="21" spans="2:11" ht="15.75" customHeight="1" x14ac:dyDescent="0.2">
      <c r="B21" s="47"/>
      <c r="C21" s="56"/>
      <c r="D21" s="56"/>
      <c r="E21" s="61" t="s">
        <v>67</v>
      </c>
      <c r="F21" s="62" t="s">
        <v>68</v>
      </c>
      <c r="G21" s="61" t="s">
        <v>69</v>
      </c>
      <c r="H21" s="63"/>
      <c r="I21" s="56"/>
      <c r="J21" s="55"/>
    </row>
    <row r="22" spans="2:11" ht="15.75" customHeight="1" x14ac:dyDescent="0.2">
      <c r="B22" s="49"/>
      <c r="C22" s="50"/>
      <c r="D22" s="50"/>
      <c r="E22" s="50"/>
      <c r="F22" s="50"/>
      <c r="G22" s="50"/>
      <c r="H22" s="50"/>
      <c r="I22" s="50"/>
      <c r="J22" s="53"/>
    </row>
    <row r="23" spans="2:11" ht="15.75" customHeight="1" x14ac:dyDescent="0.2"/>
    <row r="24" spans="2:11" ht="15.75" customHeight="1" x14ac:dyDescent="0.2"/>
    <row r="25" spans="2:11" ht="40.5" customHeight="1" x14ac:dyDescent="0.2">
      <c r="C25" s="170" t="s">
        <v>78</v>
      </c>
      <c r="D25" s="171"/>
      <c r="E25" s="171"/>
      <c r="F25" s="171"/>
      <c r="G25" s="171"/>
      <c r="H25" s="171"/>
      <c r="I25" s="172"/>
    </row>
    <row r="26" spans="2:11" ht="15.75" customHeight="1" x14ac:dyDescent="0.2">
      <c r="C26" s="64" t="s">
        <v>79</v>
      </c>
      <c r="D26" s="64" t="s">
        <v>80</v>
      </c>
      <c r="E26" s="65" t="s">
        <v>81</v>
      </c>
      <c r="F26" s="66" t="s">
        <v>82</v>
      </c>
      <c r="G26" s="66" t="s">
        <v>70</v>
      </c>
      <c r="H26" s="67" t="s">
        <v>71</v>
      </c>
      <c r="I26" s="68" t="s">
        <v>72</v>
      </c>
      <c r="J26" s="65" t="s">
        <v>73</v>
      </c>
      <c r="K26" s="54"/>
    </row>
    <row r="27" spans="2:11" ht="15.75" customHeight="1" x14ac:dyDescent="0.2">
      <c r="C27" s="69" t="s">
        <v>83</v>
      </c>
      <c r="D27" s="69">
        <v>3</v>
      </c>
      <c r="E27" s="173" t="s">
        <v>84</v>
      </c>
      <c r="F27" s="70" t="s">
        <v>85</v>
      </c>
      <c r="G27" s="70">
        <v>1</v>
      </c>
      <c r="H27" s="88" t="s">
        <v>86</v>
      </c>
      <c r="I27" s="71">
        <v>3</v>
      </c>
      <c r="J27" s="72">
        <f>$D$27*$G$27*$I$27</f>
        <v>9</v>
      </c>
      <c r="K27" s="54"/>
    </row>
    <row r="28" spans="2:11" ht="15.75" customHeight="1" x14ac:dyDescent="0.2">
      <c r="C28" s="69" t="s">
        <v>87</v>
      </c>
      <c r="D28" s="69">
        <v>5</v>
      </c>
      <c r="E28" s="174"/>
      <c r="F28" s="79" t="s">
        <v>88</v>
      </c>
      <c r="G28" s="70">
        <v>8</v>
      </c>
      <c r="H28" s="86" t="s">
        <v>89</v>
      </c>
      <c r="I28" s="71">
        <v>8</v>
      </c>
      <c r="J28" s="72">
        <f t="shared" ref="J28:J42" si="0">D28*G28*I28</f>
        <v>320</v>
      </c>
    </row>
    <row r="29" spans="2:11" ht="15.75" customHeight="1" x14ac:dyDescent="0.2">
      <c r="C29" s="69" t="s">
        <v>90</v>
      </c>
      <c r="D29" s="69">
        <v>2</v>
      </c>
      <c r="E29" s="174"/>
      <c r="F29" s="70" t="s">
        <v>91</v>
      </c>
      <c r="G29" s="70">
        <v>3</v>
      </c>
      <c r="H29" s="86" t="s">
        <v>89</v>
      </c>
      <c r="I29" s="71">
        <v>5</v>
      </c>
      <c r="J29" s="72">
        <f t="shared" si="0"/>
        <v>30</v>
      </c>
    </row>
    <row r="30" spans="2:11" ht="15.75" customHeight="1" x14ac:dyDescent="0.2">
      <c r="C30" s="84"/>
      <c r="D30" s="69"/>
      <c r="E30" s="174"/>
      <c r="F30" s="85"/>
      <c r="G30" s="70"/>
      <c r="H30" s="86"/>
      <c r="I30" s="71"/>
      <c r="J30" s="72">
        <f t="shared" si="0"/>
        <v>0</v>
      </c>
    </row>
    <row r="31" spans="2:11" ht="15.75" customHeight="1" x14ac:dyDescent="0.2">
      <c r="C31" s="84"/>
      <c r="D31" s="69"/>
      <c r="E31" s="174"/>
      <c r="F31" s="85"/>
      <c r="G31" s="70"/>
      <c r="H31" s="86"/>
      <c r="I31" s="71"/>
      <c r="J31" s="72">
        <f t="shared" si="0"/>
        <v>0</v>
      </c>
    </row>
    <row r="32" spans="2:11" ht="15.75" customHeight="1" x14ac:dyDescent="0.2">
      <c r="C32" s="84"/>
      <c r="D32" s="69"/>
      <c r="E32" s="174"/>
      <c r="F32" s="85"/>
      <c r="G32" s="70"/>
      <c r="H32" s="86"/>
      <c r="I32" s="71"/>
      <c r="J32" s="72">
        <f t="shared" si="0"/>
        <v>0</v>
      </c>
    </row>
    <row r="33" spans="3:10" ht="15.75" customHeight="1" x14ac:dyDescent="0.2">
      <c r="C33" s="84"/>
      <c r="D33" s="69"/>
      <c r="E33" s="174"/>
      <c r="F33" s="85"/>
      <c r="G33" s="70"/>
      <c r="H33" s="86"/>
      <c r="I33" s="71"/>
      <c r="J33" s="72">
        <f t="shared" si="0"/>
        <v>0</v>
      </c>
    </row>
    <row r="34" spans="3:10" ht="15.75" customHeight="1" x14ac:dyDescent="0.2">
      <c r="C34" s="89"/>
      <c r="D34" s="73"/>
      <c r="E34" s="175"/>
      <c r="F34" s="90"/>
      <c r="G34" s="74"/>
      <c r="H34" s="91"/>
      <c r="I34" s="75"/>
      <c r="J34" s="76">
        <f t="shared" si="0"/>
        <v>0</v>
      </c>
    </row>
    <row r="35" spans="3:10" ht="15.75" customHeight="1" x14ac:dyDescent="0.2">
      <c r="C35" s="77"/>
      <c r="D35" s="78"/>
      <c r="E35" s="176"/>
      <c r="F35" s="79"/>
      <c r="G35" s="80"/>
      <c r="H35" s="81"/>
      <c r="I35" s="82"/>
      <c r="J35" s="83">
        <f t="shared" si="0"/>
        <v>0</v>
      </c>
    </row>
    <row r="36" spans="3:10" ht="15.75" customHeight="1" x14ac:dyDescent="0.2">
      <c r="C36" s="84"/>
      <c r="D36" s="69"/>
      <c r="E36" s="174"/>
      <c r="F36" s="85"/>
      <c r="G36" s="70"/>
      <c r="H36" s="86"/>
      <c r="I36" s="71"/>
      <c r="J36" s="83">
        <f t="shared" si="0"/>
        <v>0</v>
      </c>
    </row>
    <row r="37" spans="3:10" ht="15.75" customHeight="1" x14ac:dyDescent="0.2">
      <c r="C37" s="84"/>
      <c r="D37" s="69"/>
      <c r="E37" s="174"/>
      <c r="F37" s="85"/>
      <c r="G37" s="70"/>
      <c r="H37" s="86"/>
      <c r="I37" s="71"/>
      <c r="J37" s="83">
        <f t="shared" si="0"/>
        <v>0</v>
      </c>
    </row>
    <row r="38" spans="3:10" ht="15.75" customHeight="1" x14ac:dyDescent="0.2">
      <c r="C38" s="84"/>
      <c r="D38" s="69"/>
      <c r="E38" s="174"/>
      <c r="F38" s="85"/>
      <c r="G38" s="70"/>
      <c r="H38" s="86"/>
      <c r="I38" s="71"/>
      <c r="J38" s="83">
        <f t="shared" si="0"/>
        <v>0</v>
      </c>
    </row>
    <row r="39" spans="3:10" ht="15.75" customHeight="1" x14ac:dyDescent="0.2">
      <c r="C39" s="84"/>
      <c r="D39" s="69"/>
      <c r="E39" s="174"/>
      <c r="F39" s="85"/>
      <c r="G39" s="70"/>
      <c r="H39" s="86"/>
      <c r="I39" s="71"/>
      <c r="J39" s="83">
        <f t="shared" si="0"/>
        <v>0</v>
      </c>
    </row>
    <row r="40" spans="3:10" ht="15.75" customHeight="1" x14ac:dyDescent="0.2">
      <c r="C40" s="84"/>
      <c r="D40" s="69"/>
      <c r="E40" s="174"/>
      <c r="F40" s="85"/>
      <c r="G40" s="70"/>
      <c r="H40" s="86"/>
      <c r="I40" s="71"/>
      <c r="J40" s="83">
        <f t="shared" si="0"/>
        <v>0</v>
      </c>
    </row>
    <row r="41" spans="3:10" ht="15.75" customHeight="1" x14ac:dyDescent="0.2">
      <c r="C41" s="84"/>
      <c r="D41" s="69"/>
      <c r="E41" s="174"/>
      <c r="F41" s="85"/>
      <c r="G41" s="70"/>
      <c r="H41" s="86"/>
      <c r="I41" s="71"/>
      <c r="J41" s="83">
        <f t="shared" si="0"/>
        <v>0</v>
      </c>
    </row>
    <row r="42" spans="3:10" ht="15.75" customHeight="1" x14ac:dyDescent="0.2">
      <c r="C42" s="84"/>
      <c r="D42" s="69"/>
      <c r="E42" s="177"/>
      <c r="F42" s="85"/>
      <c r="G42" s="70"/>
      <c r="H42" s="86"/>
      <c r="I42" s="71"/>
      <c r="J42" s="83">
        <f t="shared" si="0"/>
        <v>0</v>
      </c>
    </row>
    <row r="43" spans="3:10" ht="15.75" customHeight="1" x14ac:dyDescent="0.2"/>
    <row r="44" spans="3:10" ht="15.75" customHeight="1" x14ac:dyDescent="0.2"/>
    <row r="45" spans="3:10" ht="15.75" customHeight="1" x14ac:dyDescent="0.2"/>
    <row r="46" spans="3:10" ht="15.75" customHeight="1" x14ac:dyDescent="0.2"/>
    <row r="47" spans="3:10" ht="15.75" customHeight="1" x14ac:dyDescent="0.2"/>
    <row r="48" spans="3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spans="20:20" ht="15.75" customHeight="1" x14ac:dyDescent="0.2"/>
    <row r="994" spans="20:20" ht="15.75" customHeight="1" x14ac:dyDescent="0.2"/>
    <row r="995" spans="20:20" ht="15.75" customHeight="1" x14ac:dyDescent="0.2"/>
    <row r="996" spans="20:20" ht="15.75" customHeight="1" x14ac:dyDescent="0.2"/>
    <row r="997" spans="20:20" ht="15.75" customHeight="1" x14ac:dyDescent="0.2"/>
    <row r="998" spans="20:20" ht="15.75" customHeight="1" x14ac:dyDescent="0.2"/>
    <row r="999" spans="20:20" ht="15.75" customHeight="1" x14ac:dyDescent="0.2"/>
    <row r="1000" spans="20:20" ht="15.75" customHeight="1" x14ac:dyDescent="0.2"/>
    <row r="1001" spans="20:20" ht="15.75" customHeight="1" x14ac:dyDescent="0.2"/>
    <row r="1002" spans="20:20" ht="15.75" customHeight="1" x14ac:dyDescent="0.2"/>
    <row r="1003" spans="20:20" ht="15.75" customHeight="1" x14ac:dyDescent="0.2"/>
    <row r="1004" spans="20:20" ht="15.75" customHeight="1" x14ac:dyDescent="0.2"/>
    <row r="1005" spans="20:20" ht="15.75" customHeight="1" x14ac:dyDescent="0.2"/>
    <row r="1006" spans="20:20" ht="15.75" customHeight="1" x14ac:dyDescent="0.2"/>
    <row r="1007" spans="20:20" ht="15.75" customHeight="1" x14ac:dyDescent="0.2"/>
    <row r="1008" spans="20:20" ht="15.75" customHeight="1" x14ac:dyDescent="0.2">
      <c r="T1008" s="87">
        <v>1</v>
      </c>
    </row>
    <row r="1009" spans="20:20" ht="15.75" customHeight="1" x14ac:dyDescent="0.2">
      <c r="T1009" s="87">
        <v>2</v>
      </c>
    </row>
    <row r="1010" spans="20:20" ht="15.75" customHeight="1" x14ac:dyDescent="0.2">
      <c r="T1010" s="87">
        <v>3</v>
      </c>
    </row>
    <row r="1011" spans="20:20" ht="15.75" customHeight="1" x14ac:dyDescent="0.2">
      <c r="T1011" s="87">
        <v>4</v>
      </c>
    </row>
    <row r="1012" spans="20:20" ht="15.75" customHeight="1" x14ac:dyDescent="0.2">
      <c r="T1012" s="87">
        <v>5</v>
      </c>
    </row>
    <row r="1013" spans="20:20" ht="15.75" customHeight="1" x14ac:dyDescent="0.2">
      <c r="T1013" s="87">
        <v>6</v>
      </c>
    </row>
    <row r="1014" spans="20:20" ht="15.75" customHeight="1" x14ac:dyDescent="0.2">
      <c r="T1014" s="87">
        <v>7</v>
      </c>
    </row>
    <row r="1015" spans="20:20" ht="15.75" customHeight="1" x14ac:dyDescent="0.2">
      <c r="T1015" s="87">
        <v>8</v>
      </c>
    </row>
    <row r="1016" spans="20:20" ht="15.75" customHeight="1" x14ac:dyDescent="0.2">
      <c r="T1016" s="87">
        <v>9</v>
      </c>
    </row>
    <row r="1017" spans="20:20" ht="15.75" customHeight="1" x14ac:dyDescent="0.2">
      <c r="T1017" s="87">
        <v>10</v>
      </c>
    </row>
  </sheetData>
  <mergeCells count="3">
    <mergeCell ref="C25:I25"/>
    <mergeCell ref="E27:E34"/>
    <mergeCell ref="E35:E42"/>
  </mergeCells>
  <dataValidations count="1">
    <dataValidation type="list" allowBlank="1" sqref="D27:D42 I27:I42 G27:G42" xr:uid="{00000000-0002-0000-1200-000000000000}">
      <formula1>$T$1008:$T$1017</formula1>
    </dataValidation>
  </dataValidation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Интервью_Вопросник</vt:lpstr>
      <vt:lpstr>2.2.Сортировка</vt:lpstr>
      <vt:lpstr>10.Риски (копия)</vt:lpstr>
      <vt:lpstr>Интервью_Вопросник!Область_печати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Грибков Александр Вячеславович</cp:lastModifiedBy>
  <dcterms:created xsi:type="dcterms:W3CDTF">2022-01-24T10:32:31Z</dcterms:created>
  <dcterms:modified xsi:type="dcterms:W3CDTF">2025-09-01T14:16:45Z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0x010100014DCA723010D1489E7F874127DB7046</vt:lpwstr>
  </property>
  <property fmtid="{D5CDD505-2E9C-101B-9397-08002B2CF9AE}" pid="3" name="ICV">
    <vt:lpwstr>46a2c23844ac4a25925e41ab7818030a</vt:lpwstr>
  </property>
</Properties>
</file>