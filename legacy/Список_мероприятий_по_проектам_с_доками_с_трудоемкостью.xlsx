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rbo.ov\Documents\Рабочие доки\ОБ\Документы\РЦК Москвы\Цифра\"/>
    </mc:Choice>
  </mc:AlternateContent>
  <xr:revisionPtr revIDLastSave="0" documentId="13_ncr:1_{589BB871-5A8C-4B61-A3AA-A9ECBE974E95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Мероприятие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27" i="1"/>
  <c r="G18" i="1"/>
  <c r="H18" i="1" s="1"/>
  <c r="G14" i="1"/>
  <c r="H14" i="1" s="1"/>
  <c r="H8" i="1"/>
  <c r="H10" i="1"/>
  <c r="H12" i="1"/>
  <c r="H13" i="1"/>
  <c r="H15" i="1"/>
  <c r="H16" i="1"/>
  <c r="H17" i="1"/>
  <c r="H22" i="1"/>
  <c r="H23" i="1"/>
  <c r="H24" i="1"/>
  <c r="H25" i="1"/>
  <c r="H26" i="1"/>
  <c r="H28" i="1"/>
  <c r="H29" i="1"/>
  <c r="H30" i="1"/>
  <c r="H31" i="1"/>
  <c r="H32" i="1"/>
  <c r="H33" i="1"/>
  <c r="H34" i="1"/>
  <c r="H35" i="1"/>
  <c r="H37" i="1"/>
  <c r="H38" i="1"/>
  <c r="H6" i="1"/>
  <c r="H7" i="1"/>
  <c r="H5" i="1"/>
  <c r="P16" i="1" l="1"/>
  <c r="P14" i="1"/>
  <c r="P15" i="1"/>
  <c r="P9" i="1"/>
  <c r="P13" i="1"/>
  <c r="P8" i="1"/>
  <c r="P12" i="1"/>
  <c r="P11" i="1"/>
  <c r="P10" i="1"/>
  <c r="P7" i="1"/>
  <c r="J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Бурбо Ольга Владимировна</author>
  </authors>
  <commentList>
    <comment ref="G3" authorId="0" shapeId="0" xr:uid="{78EB9DFE-9452-4E5C-9244-09C813FBD32E}">
      <text>
        <r>
          <rPr>
            <b/>
            <sz val="9"/>
            <color indexed="81"/>
            <rFont val="Tahoma"/>
            <family val="2"/>
            <charset val="204"/>
          </rPr>
          <t>Бурбо Ольга Владимировна:</t>
        </r>
        <r>
          <rPr>
            <sz val="9"/>
            <color indexed="81"/>
            <rFont val="Tahoma"/>
            <family val="2"/>
            <charset val="204"/>
          </rPr>
          <t xml:space="preserve">
Создание менеджером</t>
        </r>
      </text>
    </comment>
    <comment ref="G4" authorId="0" shapeId="0" xr:uid="{88C169DB-37D1-4F55-818F-4E52FBC858F7}">
      <text>
        <r>
          <rPr>
            <b/>
            <sz val="9"/>
            <color indexed="81"/>
            <rFont val="Tahoma"/>
            <family val="2"/>
            <charset val="204"/>
          </rPr>
          <t>Бурбо Ольга Владимировна:</t>
        </r>
        <r>
          <rPr>
            <sz val="9"/>
            <color indexed="81"/>
            <rFont val="Tahoma"/>
            <family val="2"/>
            <charset val="204"/>
          </rPr>
          <t xml:space="preserve">
создание отчета менеджером</t>
        </r>
      </text>
    </comment>
  </commentList>
</comments>
</file>

<file path=xl/sharedStrings.xml><?xml version="1.0" encoding="utf-8"?>
<sst xmlns="http://schemas.openxmlformats.org/spreadsheetml/2006/main" count="182" uniqueCount="128">
  <si>
    <t>Код</t>
  </si>
  <si>
    <t>Название</t>
  </si>
  <si>
    <t>Этап проекта</t>
  </si>
  <si>
    <t>Планируемая дата завершения</t>
  </si>
  <si>
    <t>0.1</t>
  </si>
  <si>
    <t>Подписание акта начала мероприятий (старт пилотного проекта)</t>
  </si>
  <si>
    <t>Подготовка</t>
  </si>
  <si>
    <t>1.1</t>
  </si>
  <si>
    <t>Выбор потока для реализации пилотного проекта</t>
  </si>
  <si>
    <t>Диагностика и планирование</t>
  </si>
  <si>
    <t>0.2</t>
  </si>
  <si>
    <t>Открытие проекта</t>
  </si>
  <si>
    <t>1.2</t>
  </si>
  <si>
    <t>Расчёт драйверов повышения производительности</t>
  </si>
  <si>
    <t>3.2</t>
  </si>
  <si>
    <t>Стартовое совещание по Программе на Предприятии (в т. ч. запуску проекта в пилотном потоке)</t>
  </si>
  <si>
    <t>3.1</t>
  </si>
  <si>
    <t>Обучение рабочей группы проекта (модуль 1)</t>
  </si>
  <si>
    <t>0.3</t>
  </si>
  <si>
    <t>Согласование формы «О предприятии в цифрах»</t>
  </si>
  <si>
    <t>3.3</t>
  </si>
  <si>
    <t>Опрос сотрудников на вскрытие резервов роста производительности и оценки удовлетворённости условиями работы</t>
  </si>
  <si>
    <t>2.1</t>
  </si>
  <si>
    <t>Картирование текущего состояния пилотного потока</t>
  </si>
  <si>
    <t>2.2</t>
  </si>
  <si>
    <t>Внедрение производственного анализа в пилотном потоке</t>
  </si>
  <si>
    <t>3.5</t>
  </si>
  <si>
    <t>2.3</t>
  </si>
  <si>
    <t>Определение идеального и целевого состояния пилотного потока</t>
  </si>
  <si>
    <t>3.4</t>
  </si>
  <si>
    <t>Обучение рабочей группы проекта (модуль 2)</t>
  </si>
  <si>
    <t>3.8</t>
  </si>
  <si>
    <t>Подготовка инструкторов по бережливому производству</t>
  </si>
  <si>
    <t>3.6</t>
  </si>
  <si>
    <t>Организация регулярных выходов руководителей предприятия (топ-менеджмент) на производство</t>
  </si>
  <si>
    <t>2.4</t>
  </si>
  <si>
    <t>Утверждение (уточнение) целей проекта</t>
  </si>
  <si>
    <t>2.5</t>
  </si>
  <si>
    <t>1.3</t>
  </si>
  <si>
    <t>Создание информационного центра потока для проведения совещаний</t>
  </si>
  <si>
    <t>2.6</t>
  </si>
  <si>
    <t>Разработка и защита плана-графика мероприятий по достижению целей (целевого состояния) пилотного потока</t>
  </si>
  <si>
    <t>0.4</t>
  </si>
  <si>
    <t>Согласование формы «О проекте в цифрах»</t>
  </si>
  <si>
    <t>1.4</t>
  </si>
  <si>
    <t>Расчёт планового экономического эффекта от реализации мероприятий плана-графика проекта</t>
  </si>
  <si>
    <t>3.7.1</t>
  </si>
  <si>
    <t>День информирования по результатам 3 месяцев</t>
  </si>
  <si>
    <t>Внедрение</t>
  </si>
  <si>
    <t>1.5</t>
  </si>
  <si>
    <t>Создание информационного центра предприятия для проведения совещаний</t>
  </si>
  <si>
    <t>3.10</t>
  </si>
  <si>
    <t>Внедрение системы подачи и реализации предложений по улучшениям, конкурсов проектов и предложений по улучшениям</t>
  </si>
  <si>
    <t>0.5</t>
  </si>
  <si>
    <t>Выпуск приказа о переходе реализации Программы на фазу «Тиражирование»</t>
  </si>
  <si>
    <t>1.6</t>
  </si>
  <si>
    <t>Расчёт фактического экономического эффекта от реализации проекта</t>
  </si>
  <si>
    <t>2.8</t>
  </si>
  <si>
    <t>Закрытие проекта по оптимизации пилотного потока</t>
  </si>
  <si>
    <t>0.6</t>
  </si>
  <si>
    <t>Подписание Протокола выполнения мероприятий по Соглашению</t>
  </si>
  <si>
    <t>3.7.2</t>
  </si>
  <si>
    <t>День информирования по завершению проекта</t>
  </si>
  <si>
    <t>0.7.1</t>
  </si>
  <si>
    <t>Направление отчетности, подтверждающей расчет показателей производительности труда (БГ +1)</t>
  </si>
  <si>
    <t>Тиражирование и совершенствование</t>
  </si>
  <si>
    <t>0.7.2</t>
  </si>
  <si>
    <t>Направление отчетности, подтверждающей расчет показателей производительности труда (БГ +2)</t>
  </si>
  <si>
    <t>0.7.3</t>
  </si>
  <si>
    <t>Направление отчетности, подтверждающей расчет показателей производительности труда (БГ +3)</t>
  </si>
  <si>
    <t>№ п/п</t>
  </si>
  <si>
    <t>презентация</t>
  </si>
  <si>
    <t>листы присутствия и АОС (физика)</t>
  </si>
  <si>
    <t>текст</t>
  </si>
  <si>
    <t>таблица</t>
  </si>
  <si>
    <t>карта</t>
  </si>
  <si>
    <t>таблица и текст</t>
  </si>
  <si>
    <t>Документы</t>
  </si>
  <si>
    <t>текст, таблица</t>
  </si>
  <si>
    <t>КТ-0</t>
  </si>
  <si>
    <t>КТ-1</t>
  </si>
  <si>
    <t>КТ-2</t>
  </si>
  <si>
    <t>Формат файла</t>
  </si>
  <si>
    <t xml:space="preserve">таблица и текст </t>
  </si>
  <si>
    <t>Справка по посещению предприятия в рамказ ТК-0</t>
  </si>
  <si>
    <t>Справка по посещению предприятия в рамказ ТК-1</t>
  </si>
  <si>
    <t>Справка по посещению предприятия в рамказ ТК-2</t>
  </si>
  <si>
    <t>Акт начала меропритяий</t>
  </si>
  <si>
    <t>Протокол выбора потока
Таблица выбора потока (шаблон ФЦК есть)</t>
  </si>
  <si>
    <t>Презентация стартовое совещание</t>
  </si>
  <si>
    <t>Отчет по результатам опроса на вскрытие резервов</t>
  </si>
  <si>
    <t>Приказ о внедрении ПА с приложениями</t>
  </si>
  <si>
    <t xml:space="preserve">Приказ о проведении выхода
График обхода </t>
  </si>
  <si>
    <t>Утвержденная Карточка проекта</t>
  </si>
  <si>
    <t xml:space="preserve"> таблица, презентация</t>
  </si>
  <si>
    <t>Приказ о создании ИЦ</t>
  </si>
  <si>
    <t>План-график</t>
  </si>
  <si>
    <t>Карточка о проекте в цифре</t>
  </si>
  <si>
    <t>Справка ЭЭ</t>
  </si>
  <si>
    <t>Презентация ДИ -3</t>
  </si>
  <si>
    <t xml:space="preserve">Приказ о создании ИЦ потока </t>
  </si>
  <si>
    <t>"Приказ о ППУ", 
"Приказ о конкурсах ППУ",
 "Положение о конкурсах проектов и ППУ"</t>
  </si>
  <si>
    <t>итоговая презентация</t>
  </si>
  <si>
    <t>Презентация ДИ 6</t>
  </si>
  <si>
    <t>Протокол выполнения мероприятий</t>
  </si>
  <si>
    <t>ДОКУМЕНТЫ</t>
  </si>
  <si>
    <t>Приказ о переходе на этап Тиражирования</t>
  </si>
  <si>
    <t xml:space="preserve">Приказ о назначении ответственных
</t>
  </si>
  <si>
    <t>Предварит. Карточка проекта</t>
  </si>
  <si>
    <t xml:space="preserve">Чек лист выбора ЭУ </t>
  </si>
  <si>
    <t xml:space="preserve">Презентация Создание ЭУ </t>
  </si>
  <si>
    <t>Приказ о формировании ПО</t>
  </si>
  <si>
    <t xml:space="preserve">
Положение о ПО</t>
  </si>
  <si>
    <t>эксель</t>
  </si>
  <si>
    <t>первые топ 10 доков</t>
  </si>
  <si>
    <t>Эксель (неск листов)</t>
  </si>
  <si>
    <t>Содержательный отчет</t>
  </si>
  <si>
    <t>Открытие проекта - карточка (принцип расчета показателей)</t>
  </si>
  <si>
    <t>Трудоемкость на 1 касание документа при первичной проверке  (чел.час.)</t>
  </si>
  <si>
    <t>Среднее кол-во касаний одго документа менеджером</t>
  </si>
  <si>
    <t>Минимум минут в одном подходе к документу (около минимальные значения)</t>
  </si>
  <si>
    <t>Создание проектного офиса на предприятии. Положение</t>
  </si>
  <si>
    <t>Создание проектного офиса на предприятии. Приказ</t>
  </si>
  <si>
    <t>Создание эталонного участка. Презентация</t>
  </si>
  <si>
    <t>Создание эталонного участка, чек-лист</t>
  </si>
  <si>
    <t>??</t>
  </si>
  <si>
    <t>1 (400-500 стр.)</t>
  </si>
  <si>
    <t>Заявка на выход эксперта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</si>
</sst>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4" x14ac:knownFonts="1">
    <font>
      <sz val="11"/>
      <color theme="1"/>
      <name val="Calibri"/>
      <family val="2"/>
      <charset val="204"/>
      <scheme val="minor"/>
    </font>
    <font>
      <sz val="10"/>
      <color theme="1"/>
      <name val="Segoe UI"/>
      <family val="2"/>
      <charset val="204"/>
    </font>
    <font>
      <b/>
      <sz val="10"/>
      <color theme="0"/>
      <name val="Segoe UI"/>
      <family val="2"/>
      <charset val="204"/>
    </font>
    <font>
      <strike/>
      <sz val="11"/>
      <color theme="1"/>
      <name val="Calibri"/>
      <family val="2"/>
      <charset val="204"/>
      <scheme val="minor"/>
    </font>
    <font>
      <strike/>
      <sz val="10"/>
      <color theme="1"/>
      <name val="Segoe UI"/>
      <family val="2"/>
      <charset val="204"/>
    </font>
    <font>
      <b/>
      <sz val="14"/>
      <color theme="1"/>
      <name val="Segoe UI"/>
      <family val="2"/>
      <charset val="204"/>
    </font>
    <font>
      <sz val="10"/>
      <color rgb="FF0070C0"/>
      <name val="Segoe UI"/>
      <family val="2"/>
      <charset val="204"/>
    </font>
    <font>
      <sz val="11"/>
      <color rgb="FF0070C0"/>
      <name val="Calibri"/>
      <family val="2"/>
      <charset val="204"/>
      <scheme val="minor"/>
    </font>
    <font>
      <b/>
      <sz val="10"/>
      <name val="Segoe UI"/>
      <family val="2"/>
      <charset val="204"/>
    </font>
    <font>
      <sz val="11"/>
      <color theme="1"/>
      <name val="Segoe UI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2"/>
      <color theme="1"/>
      <name val="Calibri"/>
      <family val="2"/>
      <charset val="204"/>
      <scheme val="minor"/>
    </font>
    <font>
      <sz val="10"/>
      <name val="Segoe U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center" wrapText="1" indent="1"/>
    </xf>
    <xf numFmtId="164" fontId="1" fillId="0" borderId="0" xfId="0" applyNumberFormat="1" applyFont="1" applyAlignment="1">
      <alignment horizontal="left" vertical="center" indent="1"/>
    </xf>
    <xf numFmtId="0" fontId="2" fillId="2" borderId="0" xfId="0" quotePrefix="1" applyFont="1" applyFill="1" applyAlignment="1">
      <alignment horizontal="left" vertical="center" wrapText="1" indent="1"/>
    </xf>
    <xf numFmtId="0" fontId="1" fillId="0" borderId="0" xfId="0" quotePrefix="1" applyFont="1" applyAlignment="1">
      <alignment horizontal="left" vertical="center" wrapText="1" indent="1"/>
    </xf>
    <xf numFmtId="0" fontId="2" fillId="2" borderId="0" xfId="0" quotePrefix="1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quotePrefix="1" applyFont="1" applyAlignment="1">
      <alignment horizontal="left" vertical="center" wrapText="1" indent="1"/>
    </xf>
    <xf numFmtId="164" fontId="4" fillId="0" borderId="0" xfId="0" applyNumberFormat="1" applyFont="1" applyAlignment="1">
      <alignment horizontal="left" vertical="center" indent="1"/>
    </xf>
    <xf numFmtId="0" fontId="3" fillId="0" borderId="0" xfId="0" applyFont="1"/>
    <xf numFmtId="0" fontId="2" fillId="2" borderId="0" xfId="0" applyFont="1" applyFill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5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4" borderId="0" xfId="0" applyFill="1"/>
    <xf numFmtId="0" fontId="6" fillId="0" borderId="0" xfId="0" quotePrefix="1" applyFont="1" applyAlignment="1">
      <alignment horizontal="left" vertical="center" wrapText="1" indent="1"/>
    </xf>
    <xf numFmtId="164" fontId="6" fillId="0" borderId="0" xfId="0" applyNumberFormat="1" applyFont="1" applyAlignment="1">
      <alignment horizontal="left" vertical="center" indent="1"/>
    </xf>
    <xf numFmtId="0" fontId="7" fillId="0" borderId="0" xfId="0" applyFont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2" fillId="2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2" fontId="0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0" fontId="2" fillId="0" borderId="0" xfId="0" quotePrefix="1" applyFont="1" applyFill="1" applyAlignment="1">
      <alignment horizontal="center" vertical="center" wrapText="1"/>
    </xf>
    <xf numFmtId="0" fontId="2" fillId="0" borderId="0" xfId="0" quotePrefix="1" applyFont="1" applyFill="1" applyAlignment="1">
      <alignment horizontal="left" vertical="center" wrapText="1" indent="1"/>
    </xf>
    <xf numFmtId="0" fontId="2" fillId="0" borderId="0" xfId="0" applyFont="1" applyFill="1" applyAlignment="1">
      <alignment horizontal="left" vertical="center" wrapText="1" indent="1"/>
    </xf>
    <xf numFmtId="0" fontId="8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Fill="1"/>
    <xf numFmtId="0" fontId="13" fillId="0" borderId="0" xfId="0" quotePrefix="1" applyFont="1" applyFill="1" applyAlignment="1">
      <alignment horizontal="left" vertical="center" wrapText="1" indent="1"/>
    </xf>
    <xf numFmtId="0" fontId="13" fillId="0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6"/>
  <sheetViews>
    <sheetView tabSelected="1" zoomScale="70" zoomScaleNormal="70" workbookViewId="0">
      <selection activeCell="H29" sqref="H29"/>
    </sheetView>
  </sheetViews>
  <sheetFormatPr defaultRowHeight="15" x14ac:dyDescent="0.25"/>
  <cols>
    <col min="1" max="1" width="7.5703125" style="6" customWidth="1"/>
    <col min="2" max="2" width="6.42578125" bestFit="1" customWidth="1"/>
    <col min="3" max="3" width="110.140625" customWidth="1"/>
    <col min="4" max="4" width="37.28515625" customWidth="1"/>
    <col min="5" max="5" width="17.42578125" customWidth="1"/>
    <col min="6" max="6" width="32.140625" customWidth="1"/>
    <col min="7" max="7" width="25.85546875" style="21" customWidth="1"/>
    <col min="8" max="9" width="23.5703125" style="21" customWidth="1"/>
    <col min="10" max="10" width="14.7109375" style="6" customWidth="1"/>
    <col min="11" max="11" width="61" customWidth="1"/>
    <col min="16" max="16" width="12.85546875" customWidth="1"/>
  </cols>
  <sheetData>
    <row r="1" spans="1:16" ht="28.5" x14ac:dyDescent="0.25">
      <c r="A1" s="5" t="s">
        <v>70</v>
      </c>
      <c r="B1" s="3" t="s">
        <v>0</v>
      </c>
      <c r="C1" s="3" t="s">
        <v>1</v>
      </c>
      <c r="D1" s="3" t="s">
        <v>2</v>
      </c>
      <c r="E1" s="5" t="s">
        <v>3</v>
      </c>
      <c r="F1" s="11" t="s">
        <v>82</v>
      </c>
      <c r="G1" s="26" t="s">
        <v>120</v>
      </c>
      <c r="H1" s="26" t="s">
        <v>118</v>
      </c>
      <c r="I1" s="26" t="s">
        <v>119</v>
      </c>
      <c r="J1" s="14" t="s">
        <v>77</v>
      </c>
      <c r="K1" s="25" t="s">
        <v>105</v>
      </c>
    </row>
    <row r="2" spans="1:16" ht="28.5" customHeight="1" x14ac:dyDescent="0.25">
      <c r="A2" s="5"/>
      <c r="B2" s="3"/>
      <c r="C2" s="3"/>
      <c r="D2" s="3"/>
      <c r="E2" s="5"/>
      <c r="F2" s="11"/>
      <c r="G2" s="26"/>
      <c r="H2" s="26"/>
      <c r="I2" s="26"/>
      <c r="J2" s="13">
        <f>SUM(J4:J38)</f>
        <v>32</v>
      </c>
      <c r="K2" s="25"/>
    </row>
    <row r="3" spans="1:16" s="40" customFormat="1" ht="23.25" customHeight="1" x14ac:dyDescent="0.25">
      <c r="A3" s="34"/>
      <c r="B3" s="35"/>
      <c r="C3" s="41" t="s">
        <v>127</v>
      </c>
      <c r="D3" s="35"/>
      <c r="E3" s="34"/>
      <c r="F3" s="36"/>
      <c r="G3" s="42">
        <v>15</v>
      </c>
      <c r="H3" s="29">
        <f>1*G3/60</f>
        <v>0.25</v>
      </c>
      <c r="I3" s="37">
        <v>1</v>
      </c>
      <c r="J3" s="38"/>
      <c r="K3" s="39"/>
    </row>
    <row r="4" spans="1:16" ht="16.5" x14ac:dyDescent="0.25">
      <c r="A4" s="6">
        <v>1</v>
      </c>
      <c r="B4" s="4"/>
      <c r="C4" s="4" t="s">
        <v>79</v>
      </c>
      <c r="D4" s="4"/>
      <c r="E4" s="2"/>
      <c r="F4" s="1" t="s">
        <v>73</v>
      </c>
      <c r="G4" s="27">
        <v>20</v>
      </c>
      <c r="H4" s="27"/>
      <c r="I4" s="30">
        <v>1</v>
      </c>
      <c r="J4" s="21">
        <v>1</v>
      </c>
      <c r="K4" s="15" t="s">
        <v>84</v>
      </c>
    </row>
    <row r="5" spans="1:16" ht="15.75" x14ac:dyDescent="0.25">
      <c r="A5" s="6">
        <v>2</v>
      </c>
      <c r="B5" s="4" t="s">
        <v>4</v>
      </c>
      <c r="C5" s="4" t="s">
        <v>5</v>
      </c>
      <c r="D5" s="4" t="s">
        <v>6</v>
      </c>
      <c r="E5" s="2">
        <v>45763</v>
      </c>
      <c r="F5" s="1" t="s">
        <v>73</v>
      </c>
      <c r="G5" s="27">
        <v>10</v>
      </c>
      <c r="H5" s="29">
        <f>1*G5/60</f>
        <v>0.16666666666666666</v>
      </c>
      <c r="I5" s="33">
        <v>1</v>
      </c>
      <c r="J5" s="21">
        <v>1</v>
      </c>
      <c r="K5" t="s">
        <v>87</v>
      </c>
    </row>
    <row r="6" spans="1:16" ht="30" x14ac:dyDescent="0.25">
      <c r="A6" s="6">
        <v>3</v>
      </c>
      <c r="B6" s="4" t="s">
        <v>7</v>
      </c>
      <c r="C6" s="4" t="s">
        <v>8</v>
      </c>
      <c r="D6" s="4" t="s">
        <v>9</v>
      </c>
      <c r="E6" s="2">
        <v>45769</v>
      </c>
      <c r="F6" s="1" t="s">
        <v>78</v>
      </c>
      <c r="G6" s="21">
        <v>15</v>
      </c>
      <c r="H6" s="29">
        <f>1*G6/60</f>
        <v>0.25</v>
      </c>
      <c r="I6" s="33">
        <v>1</v>
      </c>
      <c r="J6" s="21">
        <v>2</v>
      </c>
      <c r="K6" s="16" t="s">
        <v>88</v>
      </c>
      <c r="P6" t="s">
        <v>114</v>
      </c>
    </row>
    <row r="7" spans="1:16" ht="30" x14ac:dyDescent="0.25">
      <c r="A7" s="6">
        <v>4</v>
      </c>
      <c r="B7" s="4" t="s">
        <v>10</v>
      </c>
      <c r="C7" s="4" t="s">
        <v>11</v>
      </c>
      <c r="D7" s="4" t="s">
        <v>9</v>
      </c>
      <c r="E7" s="2">
        <v>45776</v>
      </c>
      <c r="F7" s="1" t="s">
        <v>78</v>
      </c>
      <c r="G7" s="27">
        <v>25</v>
      </c>
      <c r="H7" s="29">
        <f>1*G7/60</f>
        <v>0.41666666666666669</v>
      </c>
      <c r="I7" s="33">
        <v>2</v>
      </c>
      <c r="J7" s="21">
        <v>1</v>
      </c>
      <c r="K7" s="16" t="s">
        <v>107</v>
      </c>
      <c r="O7">
        <v>1</v>
      </c>
      <c r="P7" s="17" t="str">
        <f>CONCATENATE(B5," ",K5)</f>
        <v>0.1 Акт начала меропритяий</v>
      </c>
    </row>
    <row r="8" spans="1:16" ht="15.75" x14ac:dyDescent="0.25">
      <c r="A8" s="6">
        <v>5</v>
      </c>
      <c r="B8" s="4" t="s">
        <v>10</v>
      </c>
      <c r="C8" s="4" t="s">
        <v>117</v>
      </c>
      <c r="D8" s="4"/>
      <c r="E8" s="2"/>
      <c r="F8" s="1"/>
      <c r="G8" s="27">
        <v>8</v>
      </c>
      <c r="H8" s="29">
        <f t="shared" ref="H8:H38" si="0">1*G8/60</f>
        <v>0.13333333333333333</v>
      </c>
      <c r="I8" s="33">
        <v>1</v>
      </c>
      <c r="J8" s="21">
        <v>1</v>
      </c>
      <c r="K8" s="16" t="s">
        <v>108</v>
      </c>
      <c r="O8">
        <v>2</v>
      </c>
      <c r="P8" s="17" t="str">
        <f>CONCATENATE(B7," ",K7)</f>
        <v xml:space="preserve">0.2 Приказ о назначении ответственных
</v>
      </c>
    </row>
    <row r="9" spans="1:16" s="10" customFormat="1" ht="15.75" x14ac:dyDescent="0.25">
      <c r="A9" s="6">
        <v>6</v>
      </c>
      <c r="B9" s="8" t="s">
        <v>12</v>
      </c>
      <c r="C9" s="8" t="s">
        <v>13</v>
      </c>
      <c r="D9" s="8" t="s">
        <v>9</v>
      </c>
      <c r="E9" s="9">
        <v>45776</v>
      </c>
      <c r="F9" s="12" t="s">
        <v>73</v>
      </c>
      <c r="G9" s="28"/>
      <c r="H9" s="29"/>
      <c r="I9" s="33"/>
      <c r="J9" s="22"/>
      <c r="O9">
        <v>3</v>
      </c>
      <c r="P9" s="17" t="str">
        <f>CONCATENATE(B8," ",K8)</f>
        <v>0.2 Предварит. Карточка проекта</v>
      </c>
    </row>
    <row r="10" spans="1:16" ht="15.75" x14ac:dyDescent="0.25">
      <c r="A10" s="6">
        <v>7</v>
      </c>
      <c r="B10" s="4" t="s">
        <v>14</v>
      </c>
      <c r="C10" s="4" t="s">
        <v>15</v>
      </c>
      <c r="D10" s="4" t="s">
        <v>9</v>
      </c>
      <c r="E10" s="2">
        <v>45796</v>
      </c>
      <c r="F10" s="1" t="s">
        <v>71</v>
      </c>
      <c r="G10" s="27">
        <v>40</v>
      </c>
      <c r="H10" s="29">
        <f t="shared" si="0"/>
        <v>0.66666666666666663</v>
      </c>
      <c r="I10" s="33">
        <v>2</v>
      </c>
      <c r="J10" s="21">
        <v>1</v>
      </c>
      <c r="K10" t="s">
        <v>89</v>
      </c>
      <c r="O10">
        <v>4</v>
      </c>
      <c r="P10" s="17" t="str">
        <f>CONCATENATE(B28," ",K28)</f>
        <v>0.4 Карточка о проекте в цифре</v>
      </c>
    </row>
    <row r="11" spans="1:16" s="10" customFormat="1" ht="15.75" x14ac:dyDescent="0.25">
      <c r="A11" s="6">
        <v>8</v>
      </c>
      <c r="B11" s="8" t="s">
        <v>16</v>
      </c>
      <c r="C11" s="8" t="s">
        <v>17</v>
      </c>
      <c r="D11" s="8" t="s">
        <v>9</v>
      </c>
      <c r="E11" s="9">
        <v>45789</v>
      </c>
      <c r="F11" s="10" t="s">
        <v>72</v>
      </c>
      <c r="G11" s="22"/>
      <c r="H11" s="29"/>
      <c r="I11" s="33"/>
      <c r="J11" s="22"/>
      <c r="O11">
        <v>5</v>
      </c>
      <c r="P11" s="17" t="str">
        <f>CONCATENATE(B33," ",K33)</f>
        <v>0.5 Приказ о переходе на этап Тиражирования</v>
      </c>
    </row>
    <row r="12" spans="1:16" ht="15.75" x14ac:dyDescent="0.25">
      <c r="A12" s="6">
        <v>9</v>
      </c>
      <c r="B12" s="4" t="s">
        <v>18</v>
      </c>
      <c r="C12" s="4" t="s">
        <v>19</v>
      </c>
      <c r="D12" s="4" t="s">
        <v>9</v>
      </c>
      <c r="E12" s="2">
        <v>45789</v>
      </c>
      <c r="F12" s="1" t="s">
        <v>74</v>
      </c>
      <c r="G12" s="27">
        <v>60</v>
      </c>
      <c r="H12" s="29">
        <f t="shared" si="0"/>
        <v>1</v>
      </c>
      <c r="I12" s="33">
        <v>4</v>
      </c>
      <c r="J12" s="21">
        <v>1</v>
      </c>
      <c r="K12" t="s">
        <v>113</v>
      </c>
      <c r="O12">
        <v>6</v>
      </c>
      <c r="P12" s="17" t="str">
        <f>CONCATENATE(B34," ",K34)</f>
        <v>1.6 Справка ЭЭ</v>
      </c>
    </row>
    <row r="13" spans="1:16" ht="15.75" x14ac:dyDescent="0.25">
      <c r="A13" s="6">
        <v>10</v>
      </c>
      <c r="B13" s="4" t="s">
        <v>20</v>
      </c>
      <c r="C13" s="4" t="s">
        <v>21</v>
      </c>
      <c r="D13" s="4" t="s">
        <v>9</v>
      </c>
      <c r="E13" s="2">
        <v>45803</v>
      </c>
      <c r="F13" s="1" t="s">
        <v>76</v>
      </c>
      <c r="G13" s="27">
        <v>30</v>
      </c>
      <c r="H13" s="29">
        <f t="shared" si="0"/>
        <v>0.5</v>
      </c>
      <c r="I13" s="33">
        <v>1</v>
      </c>
      <c r="J13" s="21">
        <v>1</v>
      </c>
      <c r="K13" t="s">
        <v>90</v>
      </c>
      <c r="O13">
        <v>7</v>
      </c>
      <c r="P13" s="17" t="str">
        <f>CONCATENATE(B24," ",K24)</f>
        <v xml:space="preserve">2.5 Чек лист выбора ЭУ </v>
      </c>
    </row>
    <row r="14" spans="1:16" s="20" customFormat="1" ht="15.75" x14ac:dyDescent="0.25">
      <c r="A14" s="6">
        <v>11</v>
      </c>
      <c r="B14" s="18" t="s">
        <v>22</v>
      </c>
      <c r="C14" s="18" t="s">
        <v>23</v>
      </c>
      <c r="D14" s="18" t="s">
        <v>9</v>
      </c>
      <c r="E14" s="19">
        <v>45803</v>
      </c>
      <c r="F14" s="20" t="s">
        <v>75</v>
      </c>
      <c r="G14" s="23">
        <f>2*60</f>
        <v>120</v>
      </c>
      <c r="H14" s="29">
        <f t="shared" si="0"/>
        <v>2</v>
      </c>
      <c r="I14" s="33">
        <v>7</v>
      </c>
      <c r="J14" s="23"/>
      <c r="O14">
        <v>8</v>
      </c>
      <c r="P14" s="17" t="str">
        <f>CONCATENATE(B25," ",K25)</f>
        <v xml:space="preserve">2.5 Презентация Создание ЭУ </v>
      </c>
    </row>
    <row r="15" spans="1:16" ht="15.75" x14ac:dyDescent="0.25">
      <c r="A15" s="6">
        <v>12</v>
      </c>
      <c r="B15" s="4" t="s">
        <v>24</v>
      </c>
      <c r="C15" s="4" t="s">
        <v>25</v>
      </c>
      <c r="D15" s="4" t="s">
        <v>9</v>
      </c>
      <c r="E15" s="2">
        <v>45847</v>
      </c>
      <c r="F15" s="1" t="s">
        <v>83</v>
      </c>
      <c r="G15" s="27">
        <v>20</v>
      </c>
      <c r="H15" s="29">
        <f t="shared" si="0"/>
        <v>0.33333333333333331</v>
      </c>
      <c r="I15" s="33">
        <v>2</v>
      </c>
      <c r="J15" s="21">
        <v>1</v>
      </c>
      <c r="K15" s="16" t="s">
        <v>91</v>
      </c>
      <c r="O15">
        <v>9</v>
      </c>
      <c r="P15" s="17" t="str">
        <f>CONCATENATE(B16," ",K16)</f>
        <v>3.5 Приказ о формировании ПО</v>
      </c>
    </row>
    <row r="16" spans="1:16" ht="15.75" x14ac:dyDescent="0.25">
      <c r="A16" s="6">
        <v>13</v>
      </c>
      <c r="B16" s="4" t="s">
        <v>26</v>
      </c>
      <c r="C16" s="4" t="s">
        <v>122</v>
      </c>
      <c r="D16" s="4" t="s">
        <v>9</v>
      </c>
      <c r="E16" s="2">
        <v>45854</v>
      </c>
      <c r="F16" s="1" t="s">
        <v>73</v>
      </c>
      <c r="G16" s="27">
        <v>10</v>
      </c>
      <c r="H16" s="29">
        <f t="shared" si="0"/>
        <v>0.16666666666666666</v>
      </c>
      <c r="I16" s="33">
        <v>2</v>
      </c>
      <c r="J16" s="21">
        <v>1</v>
      </c>
      <c r="K16" s="16" t="s">
        <v>111</v>
      </c>
      <c r="O16">
        <v>10</v>
      </c>
      <c r="P16" s="17" t="str">
        <f>CONCATENATE(B37," ",K37)</f>
        <v>0.6 Протокол выполнения мероприятий</v>
      </c>
    </row>
    <row r="17" spans="1:11" ht="30" x14ac:dyDescent="0.25">
      <c r="A17" s="6">
        <v>14</v>
      </c>
      <c r="B17" s="4" t="s">
        <v>26</v>
      </c>
      <c r="C17" s="4" t="s">
        <v>121</v>
      </c>
      <c r="D17" s="4"/>
      <c r="E17" s="2"/>
      <c r="F17" s="1"/>
      <c r="G17" s="27">
        <v>30</v>
      </c>
      <c r="H17" s="29">
        <f t="shared" si="0"/>
        <v>0.5</v>
      </c>
      <c r="I17" s="33">
        <v>2</v>
      </c>
      <c r="J17" s="21">
        <v>1</v>
      </c>
      <c r="K17" s="16" t="s">
        <v>112</v>
      </c>
    </row>
    <row r="18" spans="1:11" s="20" customFormat="1" ht="15.75" x14ac:dyDescent="0.25">
      <c r="A18" s="6">
        <v>15</v>
      </c>
      <c r="B18" s="18" t="s">
        <v>27</v>
      </c>
      <c r="C18" s="18" t="s">
        <v>28</v>
      </c>
      <c r="D18" s="18" t="s">
        <v>9</v>
      </c>
      <c r="E18" s="19">
        <v>45826</v>
      </c>
      <c r="F18" s="20" t="s">
        <v>75</v>
      </c>
      <c r="G18" s="23">
        <f>60*2.5</f>
        <v>150</v>
      </c>
      <c r="H18" s="29">
        <f t="shared" si="0"/>
        <v>2.5</v>
      </c>
      <c r="I18" s="33">
        <v>7</v>
      </c>
      <c r="J18" s="23">
        <v>1</v>
      </c>
      <c r="K18" s="20" t="s">
        <v>115</v>
      </c>
    </row>
    <row r="19" spans="1:11" s="10" customFormat="1" ht="15.75" x14ac:dyDescent="0.25">
      <c r="A19" s="6">
        <v>16</v>
      </c>
      <c r="B19" s="8" t="s">
        <v>29</v>
      </c>
      <c r="C19" s="8" t="s">
        <v>30</v>
      </c>
      <c r="D19" s="8" t="s">
        <v>9</v>
      </c>
      <c r="E19" s="9">
        <v>45833</v>
      </c>
      <c r="F19" s="10" t="s">
        <v>72</v>
      </c>
      <c r="G19" s="22"/>
      <c r="H19" s="29"/>
      <c r="I19" s="33"/>
      <c r="J19" s="22"/>
    </row>
    <row r="20" spans="1:11" ht="15.75" x14ac:dyDescent="0.25">
      <c r="A20" s="7">
        <v>17</v>
      </c>
      <c r="B20" s="8"/>
      <c r="C20" s="8" t="s">
        <v>80</v>
      </c>
      <c r="D20" s="8"/>
      <c r="E20" s="9"/>
      <c r="F20" s="12" t="s">
        <v>73</v>
      </c>
      <c r="G20" s="28"/>
      <c r="H20" s="29"/>
      <c r="I20" s="33"/>
      <c r="J20" s="22"/>
      <c r="K20" s="24" t="s">
        <v>85</v>
      </c>
    </row>
    <row r="21" spans="1:11" s="10" customFormat="1" ht="15.75" x14ac:dyDescent="0.25">
      <c r="A21" s="6">
        <v>18</v>
      </c>
      <c r="B21" s="8" t="s">
        <v>31</v>
      </c>
      <c r="C21" s="8" t="s">
        <v>32</v>
      </c>
      <c r="D21" s="8" t="s">
        <v>9</v>
      </c>
      <c r="E21" s="9">
        <v>45896</v>
      </c>
      <c r="G21" s="22"/>
      <c r="H21" s="29"/>
      <c r="I21" s="33"/>
      <c r="J21" s="22"/>
    </row>
    <row r="22" spans="1:11" ht="30" x14ac:dyDescent="0.25">
      <c r="A22" s="6">
        <v>19</v>
      </c>
      <c r="B22" s="4" t="s">
        <v>33</v>
      </c>
      <c r="C22" s="4" t="s">
        <v>34</v>
      </c>
      <c r="D22" s="4" t="s">
        <v>9</v>
      </c>
      <c r="E22" s="2">
        <v>45840</v>
      </c>
      <c r="F22" s="1" t="s">
        <v>83</v>
      </c>
      <c r="G22" s="27">
        <v>20</v>
      </c>
      <c r="H22" s="29">
        <f t="shared" si="0"/>
        <v>0.33333333333333331</v>
      </c>
      <c r="I22" s="32">
        <v>2</v>
      </c>
      <c r="J22" s="21">
        <v>2</v>
      </c>
      <c r="K22" s="16" t="s">
        <v>92</v>
      </c>
    </row>
    <row r="23" spans="1:11" x14ac:dyDescent="0.25">
      <c r="A23" s="6">
        <v>20</v>
      </c>
      <c r="B23" s="4" t="s">
        <v>35</v>
      </c>
      <c r="C23" s="4" t="s">
        <v>36</v>
      </c>
      <c r="D23" s="4" t="s">
        <v>9</v>
      </c>
      <c r="E23" s="2">
        <v>45833</v>
      </c>
      <c r="F23" s="1" t="s">
        <v>74</v>
      </c>
      <c r="G23" s="27">
        <v>20</v>
      </c>
      <c r="H23" s="29">
        <f t="shared" si="0"/>
        <v>0.33333333333333331</v>
      </c>
      <c r="I23" s="32">
        <v>3</v>
      </c>
      <c r="J23" s="21">
        <v>1</v>
      </c>
      <c r="K23" t="s">
        <v>93</v>
      </c>
    </row>
    <row r="24" spans="1:11" x14ac:dyDescent="0.25">
      <c r="A24" s="6">
        <v>21</v>
      </c>
      <c r="B24" s="4" t="s">
        <v>37</v>
      </c>
      <c r="C24" s="4" t="s">
        <v>124</v>
      </c>
      <c r="D24" s="4" t="s">
        <v>9</v>
      </c>
      <c r="E24" s="2">
        <v>45917</v>
      </c>
      <c r="F24" s="1" t="s">
        <v>94</v>
      </c>
      <c r="G24" s="27">
        <v>7</v>
      </c>
      <c r="H24" s="29">
        <f t="shared" si="0"/>
        <v>0.11666666666666667</v>
      </c>
      <c r="I24" s="32">
        <v>1</v>
      </c>
      <c r="J24" s="21">
        <v>1</v>
      </c>
      <c r="K24" s="16" t="s">
        <v>109</v>
      </c>
    </row>
    <row r="25" spans="1:11" x14ac:dyDescent="0.25">
      <c r="A25" s="6">
        <v>22</v>
      </c>
      <c r="B25" s="4" t="s">
        <v>37</v>
      </c>
      <c r="C25" s="4" t="s">
        <v>123</v>
      </c>
      <c r="D25" s="4"/>
      <c r="E25" s="2"/>
      <c r="F25" s="1"/>
      <c r="G25" s="27">
        <v>30</v>
      </c>
      <c r="H25" s="29">
        <f t="shared" si="0"/>
        <v>0.5</v>
      </c>
      <c r="I25" s="32">
        <v>2</v>
      </c>
      <c r="J25" s="21">
        <v>1</v>
      </c>
      <c r="K25" s="16" t="s">
        <v>110</v>
      </c>
    </row>
    <row r="26" spans="1:11" x14ac:dyDescent="0.25">
      <c r="A26" s="6">
        <v>23</v>
      </c>
      <c r="B26" s="4" t="s">
        <v>38</v>
      </c>
      <c r="C26" s="4" t="s">
        <v>39</v>
      </c>
      <c r="D26" s="4" t="s">
        <v>9</v>
      </c>
      <c r="E26" s="2">
        <v>45854</v>
      </c>
      <c r="F26" s="1" t="s">
        <v>73</v>
      </c>
      <c r="G26" s="27">
        <v>20</v>
      </c>
      <c r="H26" s="29">
        <f t="shared" si="0"/>
        <v>0.33333333333333331</v>
      </c>
      <c r="I26" s="32">
        <v>2</v>
      </c>
      <c r="J26" s="21">
        <v>1</v>
      </c>
      <c r="K26" t="s">
        <v>100</v>
      </c>
    </row>
    <row r="27" spans="1:11" x14ac:dyDescent="0.25">
      <c r="A27" s="6">
        <v>24</v>
      </c>
      <c r="B27" s="4" t="s">
        <v>40</v>
      </c>
      <c r="C27" s="4" t="s">
        <v>41</v>
      </c>
      <c r="D27" s="4" t="s">
        <v>9</v>
      </c>
      <c r="E27" s="2">
        <v>45861</v>
      </c>
      <c r="F27" s="1" t="s">
        <v>74</v>
      </c>
      <c r="G27" s="27">
        <v>75</v>
      </c>
      <c r="H27" s="29">
        <f t="shared" si="0"/>
        <v>1.25</v>
      </c>
      <c r="I27" s="32">
        <v>4</v>
      </c>
      <c r="J27" s="21">
        <v>1</v>
      </c>
      <c r="K27" t="s">
        <v>96</v>
      </c>
    </row>
    <row r="28" spans="1:11" x14ac:dyDescent="0.25">
      <c r="A28" s="6">
        <v>25</v>
      </c>
      <c r="B28" s="4" t="s">
        <v>42</v>
      </c>
      <c r="C28" s="4" t="s">
        <v>43</v>
      </c>
      <c r="D28" s="4" t="s">
        <v>9</v>
      </c>
      <c r="E28" s="2">
        <v>45847</v>
      </c>
      <c r="F28" s="1" t="s">
        <v>74</v>
      </c>
      <c r="G28" s="27">
        <v>15</v>
      </c>
      <c r="H28" s="29">
        <f t="shared" si="0"/>
        <v>0.25</v>
      </c>
      <c r="I28" s="32">
        <v>2</v>
      </c>
      <c r="J28" s="21">
        <v>1</v>
      </c>
      <c r="K28" t="s">
        <v>97</v>
      </c>
    </row>
    <row r="29" spans="1:11" x14ac:dyDescent="0.25">
      <c r="A29" s="6">
        <v>26</v>
      </c>
      <c r="B29" s="4" t="s">
        <v>44</v>
      </c>
      <c r="C29" s="4" t="s">
        <v>45</v>
      </c>
      <c r="D29" s="4" t="s">
        <v>9</v>
      </c>
      <c r="E29" s="2">
        <v>45854</v>
      </c>
      <c r="F29" s="1" t="s">
        <v>74</v>
      </c>
      <c r="G29" s="27">
        <v>15</v>
      </c>
      <c r="H29" s="29">
        <f t="shared" si="0"/>
        <v>0.25</v>
      </c>
      <c r="I29" s="32">
        <v>2</v>
      </c>
      <c r="J29" s="21">
        <v>1</v>
      </c>
      <c r="K29" t="s">
        <v>98</v>
      </c>
    </row>
    <row r="30" spans="1:11" x14ac:dyDescent="0.25">
      <c r="A30" s="6">
        <v>27</v>
      </c>
      <c r="B30" s="4" t="s">
        <v>46</v>
      </c>
      <c r="C30" s="4" t="s">
        <v>47</v>
      </c>
      <c r="D30" s="4" t="s">
        <v>48</v>
      </c>
      <c r="E30" s="2">
        <v>45868</v>
      </c>
      <c r="F30" s="1" t="s">
        <v>71</v>
      </c>
      <c r="G30" s="27">
        <v>75</v>
      </c>
      <c r="H30" s="29">
        <f t="shared" si="0"/>
        <v>1.25</v>
      </c>
      <c r="I30" s="32">
        <v>2</v>
      </c>
      <c r="J30" s="21">
        <v>1</v>
      </c>
      <c r="K30" t="s">
        <v>99</v>
      </c>
    </row>
    <row r="31" spans="1:11" x14ac:dyDescent="0.25">
      <c r="A31" s="6">
        <v>28</v>
      </c>
      <c r="B31" s="4" t="s">
        <v>49</v>
      </c>
      <c r="C31" s="4" t="s">
        <v>50</v>
      </c>
      <c r="D31" s="4" t="s">
        <v>48</v>
      </c>
      <c r="E31" s="2">
        <v>45896</v>
      </c>
      <c r="F31" s="1" t="s">
        <v>73</v>
      </c>
      <c r="G31" s="27">
        <v>20</v>
      </c>
      <c r="H31" s="29">
        <f t="shared" si="0"/>
        <v>0.33333333333333331</v>
      </c>
      <c r="I31" s="32">
        <v>2</v>
      </c>
      <c r="J31" s="21">
        <v>1</v>
      </c>
      <c r="K31" t="s">
        <v>95</v>
      </c>
    </row>
    <row r="32" spans="1:11" ht="52.5" customHeight="1" x14ac:dyDescent="0.25">
      <c r="A32" s="6">
        <v>29</v>
      </c>
      <c r="B32" s="4" t="s">
        <v>51</v>
      </c>
      <c r="C32" s="4" t="s">
        <v>52</v>
      </c>
      <c r="D32" s="4" t="s">
        <v>48</v>
      </c>
      <c r="E32" s="2">
        <v>45938</v>
      </c>
      <c r="F32" s="1" t="s">
        <v>73</v>
      </c>
      <c r="G32" s="27">
        <v>40</v>
      </c>
      <c r="H32" s="29">
        <f t="shared" si="0"/>
        <v>0.66666666666666663</v>
      </c>
      <c r="I32" s="32">
        <v>2</v>
      </c>
      <c r="J32" s="21">
        <v>3</v>
      </c>
      <c r="K32" s="16" t="s">
        <v>101</v>
      </c>
    </row>
    <row r="33" spans="1:11" x14ac:dyDescent="0.25">
      <c r="A33" s="6">
        <v>30</v>
      </c>
      <c r="B33" s="4" t="s">
        <v>53</v>
      </c>
      <c r="C33" s="4" t="s">
        <v>54</v>
      </c>
      <c r="D33" s="4" t="s">
        <v>48</v>
      </c>
      <c r="E33" s="2">
        <v>45945</v>
      </c>
      <c r="F33" s="1" t="s">
        <v>73</v>
      </c>
      <c r="G33" s="27">
        <v>30</v>
      </c>
      <c r="H33" s="29">
        <f t="shared" si="0"/>
        <v>0.5</v>
      </c>
      <c r="I33" s="32">
        <v>2</v>
      </c>
      <c r="J33" s="21">
        <v>1</v>
      </c>
      <c r="K33" t="s">
        <v>106</v>
      </c>
    </row>
    <row r="34" spans="1:11" x14ac:dyDescent="0.25">
      <c r="A34" s="6">
        <v>31</v>
      </c>
      <c r="B34" s="4" t="s">
        <v>55</v>
      </c>
      <c r="C34" s="4" t="s">
        <v>56</v>
      </c>
      <c r="D34" s="4" t="s">
        <v>48</v>
      </c>
      <c r="E34" s="2">
        <v>45945</v>
      </c>
      <c r="F34" s="1" t="s">
        <v>74</v>
      </c>
      <c r="G34" s="27">
        <v>45</v>
      </c>
      <c r="H34" s="29">
        <f t="shared" si="0"/>
        <v>0.75</v>
      </c>
      <c r="I34" s="32">
        <v>2</v>
      </c>
      <c r="J34" s="21">
        <v>1</v>
      </c>
      <c r="K34" t="s">
        <v>98</v>
      </c>
    </row>
    <row r="35" spans="1:11" x14ac:dyDescent="0.25">
      <c r="A35" s="6">
        <v>32</v>
      </c>
      <c r="B35" s="4" t="s">
        <v>57</v>
      </c>
      <c r="C35" s="4" t="s">
        <v>58</v>
      </c>
      <c r="D35" s="4" t="s">
        <v>48</v>
      </c>
      <c r="E35" s="2">
        <v>45952</v>
      </c>
      <c r="F35" s="1" t="s">
        <v>71</v>
      </c>
      <c r="G35" s="27">
        <v>40</v>
      </c>
      <c r="H35" s="29">
        <f t="shared" si="0"/>
        <v>0.66666666666666663</v>
      </c>
      <c r="I35" s="32">
        <v>2</v>
      </c>
      <c r="J35" s="21">
        <v>1</v>
      </c>
      <c r="K35" t="s">
        <v>102</v>
      </c>
    </row>
    <row r="36" spans="1:11" x14ac:dyDescent="0.25">
      <c r="A36" s="7">
        <v>33</v>
      </c>
      <c r="B36" s="8"/>
      <c r="C36" s="8" t="s">
        <v>81</v>
      </c>
      <c r="D36" s="8"/>
      <c r="E36" s="9"/>
      <c r="F36" s="12" t="s">
        <v>73</v>
      </c>
      <c r="G36" s="28"/>
      <c r="H36" s="29"/>
      <c r="I36" s="32"/>
      <c r="J36" s="22"/>
      <c r="K36" s="24" t="s">
        <v>86</v>
      </c>
    </row>
    <row r="37" spans="1:11" x14ac:dyDescent="0.25">
      <c r="A37" s="6">
        <v>34</v>
      </c>
      <c r="B37" s="4" t="s">
        <v>59</v>
      </c>
      <c r="C37" s="4" t="s">
        <v>60</v>
      </c>
      <c r="D37" s="4" t="s">
        <v>48</v>
      </c>
      <c r="E37" s="2">
        <v>45959</v>
      </c>
      <c r="F37" s="1" t="s">
        <v>73</v>
      </c>
      <c r="G37" s="27">
        <v>15</v>
      </c>
      <c r="H37" s="29">
        <f t="shared" si="0"/>
        <v>0.25</v>
      </c>
      <c r="I37" s="32">
        <v>2</v>
      </c>
      <c r="J37" s="21">
        <v>1</v>
      </c>
      <c r="K37" t="s">
        <v>104</v>
      </c>
    </row>
    <row r="38" spans="1:11" x14ac:dyDescent="0.25">
      <c r="A38" s="6">
        <v>35</v>
      </c>
      <c r="B38" s="4" t="s">
        <v>61</v>
      </c>
      <c r="C38" s="4" t="s">
        <v>62</v>
      </c>
      <c r="D38" s="4" t="s">
        <v>48</v>
      </c>
      <c r="E38" s="2">
        <v>45959</v>
      </c>
      <c r="F38" s="1" t="s">
        <v>71</v>
      </c>
      <c r="G38" s="27">
        <v>60</v>
      </c>
      <c r="H38" s="29">
        <f t="shared" si="0"/>
        <v>1</v>
      </c>
      <c r="I38" s="32">
        <v>2</v>
      </c>
      <c r="J38" s="21">
        <v>1</v>
      </c>
      <c r="K38" t="s">
        <v>103</v>
      </c>
    </row>
    <row r="39" spans="1:11" s="10" customFormat="1" x14ac:dyDescent="0.25">
      <c r="A39" s="6">
        <v>36</v>
      </c>
      <c r="B39" s="8" t="s">
        <v>63</v>
      </c>
      <c r="C39" s="8" t="s">
        <v>64</v>
      </c>
      <c r="D39" s="8" t="s">
        <v>65</v>
      </c>
      <c r="E39" s="9">
        <v>46137</v>
      </c>
      <c r="G39" s="22"/>
      <c r="H39" s="29"/>
      <c r="I39" s="29"/>
      <c r="J39" s="7"/>
    </row>
    <row r="40" spans="1:11" s="10" customFormat="1" x14ac:dyDescent="0.25">
      <c r="A40" s="6">
        <v>37</v>
      </c>
      <c r="B40" s="8" t="s">
        <v>66</v>
      </c>
      <c r="C40" s="8" t="s">
        <v>67</v>
      </c>
      <c r="D40" s="8" t="s">
        <v>65</v>
      </c>
      <c r="E40" s="9">
        <v>46502</v>
      </c>
      <c r="G40" s="22"/>
      <c r="H40" s="29"/>
      <c r="I40" s="29"/>
      <c r="J40" s="7"/>
    </row>
    <row r="41" spans="1:11" s="10" customFormat="1" x14ac:dyDescent="0.25">
      <c r="A41" s="6">
        <v>38</v>
      </c>
      <c r="B41" s="8" t="s">
        <v>68</v>
      </c>
      <c r="C41" s="8" t="s">
        <v>69</v>
      </c>
      <c r="D41" s="8" t="s">
        <v>65</v>
      </c>
      <c r="E41" s="9">
        <v>46868</v>
      </c>
      <c r="G41" s="22"/>
      <c r="H41" s="29"/>
      <c r="I41" s="29"/>
      <c r="J41" s="7"/>
    </row>
    <row r="42" spans="1:11" x14ac:dyDescent="0.25">
      <c r="C42" s="4" t="s">
        <v>116</v>
      </c>
      <c r="G42" s="21" t="s">
        <v>125</v>
      </c>
      <c r="H42" s="29"/>
      <c r="I42" s="29"/>
      <c r="J42" s="6" t="s">
        <v>126</v>
      </c>
    </row>
    <row r="43" spans="1:11" x14ac:dyDescent="0.25">
      <c r="I43" s="31"/>
    </row>
    <row r="44" spans="1:11" x14ac:dyDescent="0.25">
      <c r="I44" s="31"/>
    </row>
    <row r="45" spans="1:11" x14ac:dyDescent="0.25">
      <c r="I45" s="31"/>
    </row>
    <row r="46" spans="1:11" x14ac:dyDescent="0.25">
      <c r="I46" s="31"/>
    </row>
  </sheetData>
  <mergeCells count="4">
    <mergeCell ref="K1:K2"/>
    <mergeCell ref="H1:H2"/>
    <mergeCell ref="I1:I2"/>
    <mergeCell ref="G1:G2"/>
  </mergeCells>
  <conditionalFormatting sqref="H3:H38">
    <cfRule type="colorScale" priority="3">
      <colorScale>
        <cfvo type="min"/>
        <cfvo type="max"/>
        <color rgb="FFFCFCFF"/>
        <color rgb="FFF8696B"/>
      </colorScale>
    </cfRule>
  </conditionalFormatting>
  <conditionalFormatting sqref="I3:I38">
    <cfRule type="colorScale" priority="2">
      <colorScale>
        <cfvo type="min"/>
        <cfvo type="max"/>
        <color rgb="FFFCFCFF"/>
        <color rgb="FFF8696B"/>
      </colorScale>
    </cfRule>
  </conditionalFormatting>
  <conditionalFormatting sqref="G3:G38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Мероприятие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Бурбо Ольга Владимировна</cp:lastModifiedBy>
  <dcterms:modified xsi:type="dcterms:W3CDTF">2025-09-08T05:28:32Z</dcterms:modified>
</cp:coreProperties>
</file>